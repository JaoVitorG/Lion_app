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00" windowHeight="7755" tabRatio="0" firstSheet="5" activeTab="5"/>
  </bookViews>
  <sheets>
    <sheet name="CORES PADRÃO" sheetId="1" state="hidden" r:id="rId1"/>
    <sheet name="TITULAR" sheetId="2" r:id="rId2"/>
    <sheet name="INFORMES" sheetId="3" r:id="rId3"/>
    <sheet name="Plan1" sheetId="6" state="hidden" r:id="rId4"/>
    <sheet name="NOTAS" sheetId="5" r:id="rId5"/>
    <sheet name="GRAFICO" sheetId="7" r:id="rId6"/>
    <sheet name="Plan3" sheetId="8" state="hidden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6" i="7" l="1"/>
  <c r="E35" i="5"/>
  <c r="B4" i="8"/>
  <c r="B3" i="8"/>
  <c r="B2" i="8"/>
  <c r="A4" i="8"/>
  <c r="A3" i="8"/>
  <c r="A2" i="8"/>
  <c r="C7" i="3"/>
</calcChain>
</file>

<file path=xl/sharedStrings.xml><?xml version="1.0" encoding="utf-8"?>
<sst xmlns="http://schemas.openxmlformats.org/spreadsheetml/2006/main" count="116" uniqueCount="98">
  <si>
    <t>#0c0a08</t>
  </si>
  <si>
    <t>#2a3723</t>
  </si>
  <si>
    <t>#b9bba8</t>
  </si>
  <si>
    <t>#e8e5dd</t>
  </si>
  <si>
    <t>#DCBC98</t>
  </si>
  <si>
    <t>NOME</t>
  </si>
  <si>
    <t>CPF</t>
  </si>
  <si>
    <t>NASCIMENTO</t>
  </si>
  <si>
    <t>TITULO ELEITOR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</si>
  <si>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</si>
  <si>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</si>
  <si>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</si>
  <si>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</si>
  <si>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</si>
  <si>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</si>
  <si>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</si>
  <si>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DEÉNDENTE CÔNJUGE</t>
  </si>
  <si>
    <t>CÔNJUGE</t>
  </si>
  <si>
    <t>RESIDENTE DO EXTERIOR</t>
  </si>
  <si>
    <t>1. DADOS DO TITULAR</t>
  </si>
  <si>
    <t>preencher os dados da pessoa fisica abaixo</t>
  </si>
  <si>
    <t>FERNANDO KUROSAKI</t>
  </si>
  <si>
    <t>MARCELA PAULA</t>
  </si>
  <si>
    <t>RUA FERNADO DE NORONHA Nº1536</t>
  </si>
  <si>
    <t>RUA FERN. DE NORONHA Nº1536</t>
  </si>
  <si>
    <t>FENTANDO_KURO@GMAIL.COM</t>
  </si>
  <si>
    <t>NÃO</t>
  </si>
  <si>
    <t>2. INFORMES BANCÁRIOS</t>
  </si>
  <si>
    <t>preencher os dados atuais de cada banco</t>
  </si>
  <si>
    <t>BANCO</t>
  </si>
  <si>
    <t>VALOR ATUAL</t>
  </si>
  <si>
    <t>ANEXO</t>
  </si>
  <si>
    <t>1º Banco</t>
  </si>
  <si>
    <t>2º Banco</t>
  </si>
  <si>
    <t>3º Banco</t>
  </si>
  <si>
    <t>TOTAL</t>
  </si>
  <si>
    <t>topazao_2026.pdf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</si>
  <si>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</si>
  <si>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</si>
  <si>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</si>
  <si>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</si>
  <si>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</si>
  <si>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</si>
  <si>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</si>
  <si>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</si>
  <si>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</si>
  <si>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</si>
  <si>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</si>
  <si>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</si>
  <si>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</si>
  <si>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</si>
  <si>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</si>
  <si>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</si>
  <si>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</si>
  <si>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</si>
  <si>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</si>
  <si>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</si>
  <si>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</si>
  <si>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</si>
  <si>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</si>
  <si>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</si>
  <si>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</si>
  <si>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</si>
  <si>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</si>
  <si>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</si>
  <si>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</si>
  <si>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</si>
  <si>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</si>
  <si>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</si>
  <si>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</si>
  <si>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</si>
  <si>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</si>
  <si>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</si>
  <si>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</si>
  <si>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</si>
  <si>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</si>
  <si>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</si>
  <si>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</si>
  <si>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</si>
  <si>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</si>
  <si>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</si>
  <si>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</si>
  <si>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</si>
  <si>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</si>
  <si>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</si>
  <si>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</si>
  <si>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</si>
  <si>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</si>
  <si>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3. NOTAS BANCÁRIAS OU EXTRATO DE HOLERITES</t>
  </si>
  <si>
    <t>São todos os valores de entrada do mês</t>
  </si>
  <si>
    <t>DATA</t>
  </si>
  <si>
    <t>CATEGORIA</t>
  </si>
  <si>
    <t>VALOR</t>
  </si>
  <si>
    <t>ENTRADAS</t>
  </si>
  <si>
    <t>HOLERITE</t>
  </si>
  <si>
    <t>FREELANCER</t>
  </si>
  <si>
    <t>SYSTEMA BY JOÃO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</si>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</sst>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\ 00000&quot;-&quot;0000"/>
    <numFmt numFmtId="168" formatCode="&quot;R$&quot;\ #,##0.00"/>
  </numFmts>
  <fonts count="19">
    <font>
      <sz val="11"/>
      <color theme="1"/>
      <name val="Calibri"/>
      <family val="2"/>
      <scheme val="minor"/>
    </font>
    <font>
      <sz val="11"/>
      <color theme="1"/>
      <name val="Google Sans Text"/>
      <family val="2"/>
      <charset val="1"/>
    </font>
    <font>
      <sz val="11"/>
      <color rgb="FFE8E5DD"/>
      <name val="Google Sans Text"/>
      <family val="2"/>
      <charset val="1"/>
    </font>
    <font>
      <sz val="11"/>
      <color rgb="FFDCBC98"/>
      <name val="Google Sans Text"/>
      <family val="2"/>
      <charset val="1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rgb="FF3F3F76"/>
      <name val="Arial"/>
      <family val="2"/>
    </font>
    <font>
      <b/>
      <sz val="15"/>
      <color rgb="FF2A3723"/>
      <name val="Calibri"/>
      <family val="2"/>
      <scheme val="minor"/>
    </font>
    <font>
      <i/>
      <sz val="11"/>
      <color rgb="FF2A3723"/>
      <name val="Arial"/>
      <family val="2"/>
    </font>
    <font>
      <sz val="11"/>
      <color rgb="FF0C0A08"/>
      <name val="Calibri"/>
      <family val="2"/>
      <scheme val="minor"/>
    </font>
    <font>
      <u/>
      <sz val="11"/>
      <color rgb="FF0C0A0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C0A08"/>
      <name val="Calibri"/>
      <family val="2"/>
      <scheme val="minor"/>
    </font>
    <font>
      <sz val="11"/>
      <color rgb="FF2A372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C0A08"/>
        <bgColor indexed="64"/>
      </patternFill>
    </fill>
    <fill>
      <patternFill patternType="solid">
        <fgColor rgb="FF2A3723"/>
        <bgColor indexed="64"/>
      </patternFill>
    </fill>
    <fill>
      <patternFill patternType="solid">
        <fgColor rgb="FFB9BBA8"/>
        <bgColor indexed="64"/>
      </patternFill>
    </fill>
    <fill>
      <patternFill patternType="solid">
        <fgColor rgb="FFE8E5DD"/>
        <bgColor indexed="64"/>
      </patternFill>
    </fill>
    <fill>
      <patternFill patternType="solid">
        <fgColor rgb="FFDCBC98"/>
        <bgColor indexed="64"/>
      </patternFill>
    </fill>
    <fill>
      <patternFill patternType="solid">
        <fgColor rgb="FFFFCC9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rgb="FFFFC000"/>
      </top>
      <bottom/>
      <diagonal/>
    </border>
    <border>
      <left/>
      <right/>
      <top/>
      <bottom style="thick">
        <color theme="4" tint="-0.24994659260841701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1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1" applyNumberFormat="0" applyFill="0" applyAlignment="0" applyProtection="0"/>
    <xf numFmtId="0" fontId="5" fillId="7" borderId="2" applyNumberFormat="0" applyAlignment="0" applyProtection="0"/>
    <xf numFmtId="0" fontId="7" fillId="0" borderId="0" applyNumberFormat="0" applyFill="0" applyBorder="0" applyAlignment="0" applyProtection="0"/>
    <xf numFmtId="44" fontId="13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5" borderId="0" xfId="0" applyFont="1" applyFill="1"/>
    <xf numFmtId="0" fontId="1" fillId="4" borderId="0" xfId="0" applyFont="1" applyFill="1"/>
    <xf numFmtId="0" fontId="3" fillId="2" borderId="0" xfId="0" applyFont="1" applyFill="1"/>
    <xf numFmtId="0" fontId="2" fillId="3" borderId="0" xfId="0" applyFont="1" applyFill="1"/>
    <xf numFmtId="0" fontId="0" fillId="0" borderId="0" xfId="0" applyFill="1"/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9" fillId="0" borderId="10" xfId="1" applyFont="1" applyBorder="1"/>
    <xf numFmtId="0" fontId="4" fillId="0" borderId="10" xfId="1" applyBorder="1"/>
    <xf numFmtId="0" fontId="6" fillId="0" borderId="11" xfId="0" applyFont="1" applyBorder="1" applyAlignment="1">
      <alignment horizontal="right"/>
    </xf>
    <xf numFmtId="0" fontId="6" fillId="0" borderId="13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0" fillId="9" borderId="0" xfId="2" applyFont="1" applyFill="1" applyBorder="1" applyAlignment="1">
      <alignment horizontal="left" indent="3"/>
    </xf>
    <xf numFmtId="0" fontId="8" fillId="0" borderId="9" xfId="2" applyFont="1" applyFill="1" applyBorder="1" applyAlignment="1">
      <alignment horizontal="left" indent="3"/>
    </xf>
    <xf numFmtId="0" fontId="0" fillId="0" borderId="0" xfId="0" applyFill="1" applyBorder="1"/>
    <xf numFmtId="0" fontId="16" fillId="0" borderId="0" xfId="0" applyFont="1"/>
    <xf numFmtId="0" fontId="11" fillId="8" borderId="17" xfId="2" applyFont="1" applyFill="1" applyBorder="1" applyAlignment="1">
      <alignment horizontal="left"/>
    </xf>
    <xf numFmtId="0" fontId="0" fillId="10" borderId="0" xfId="0" applyFill="1"/>
    <xf numFmtId="168" fontId="17" fillId="8" borderId="18" xfId="2" applyNumberFormat="1" applyFont="1" applyFill="1" applyBorder="1" applyAlignment="1">
      <alignment horizontal="center"/>
    </xf>
    <xf numFmtId="0" fontId="17" fillId="8" borderId="18" xfId="2" applyFont="1" applyFill="1" applyBorder="1" applyAlignment="1">
      <alignment horizontal="center"/>
    </xf>
    <xf numFmtId="0" fontId="14" fillId="11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1" fillId="8" borderId="3" xfId="2" applyFont="1" applyFill="1" applyBorder="1" applyAlignment="1" applyProtection="1">
      <alignment horizontal="left"/>
      <protection locked="0"/>
    </xf>
    <xf numFmtId="164" fontId="11" fillId="8" borderId="6" xfId="2" applyNumberFormat="1" applyFont="1" applyFill="1" applyBorder="1" applyAlignment="1" applyProtection="1">
      <alignment horizontal="left"/>
      <protection locked="0"/>
    </xf>
    <xf numFmtId="14" fontId="11" fillId="8" borderId="6" xfId="2" applyNumberFormat="1" applyFont="1" applyFill="1" applyBorder="1" applyAlignment="1" applyProtection="1">
      <alignment horizontal="left"/>
      <protection locked="0"/>
    </xf>
    <xf numFmtId="0" fontId="11" fillId="8" borderId="6" xfId="2" applyFont="1" applyFill="1" applyBorder="1" applyAlignment="1" applyProtection="1">
      <alignment horizontal="left"/>
      <protection locked="0"/>
    </xf>
    <xf numFmtId="165" fontId="11" fillId="8" borderId="6" xfId="2" applyNumberFormat="1" applyFont="1" applyFill="1" applyBorder="1" applyAlignment="1" applyProtection="1">
      <alignment horizontal="left"/>
      <protection locked="0"/>
    </xf>
    <xf numFmtId="166" fontId="11" fillId="8" borderId="6" xfId="2" applyNumberFormat="1" applyFont="1" applyFill="1" applyBorder="1" applyAlignment="1" applyProtection="1">
      <alignment horizontal="left"/>
      <protection locked="0"/>
    </xf>
    <xf numFmtId="0" fontId="12" fillId="8" borderId="6" xfId="3" applyFont="1" applyFill="1" applyBorder="1" applyAlignment="1" applyProtection="1">
      <alignment horizontal="left"/>
      <protection locked="0"/>
    </xf>
    <xf numFmtId="0" fontId="11" fillId="8" borderId="8" xfId="2" applyFont="1" applyFill="1" applyBorder="1" applyAlignment="1" applyProtection="1">
      <alignment horizontal="left"/>
      <protection locked="0"/>
    </xf>
    <xf numFmtId="0" fontId="11" fillId="8" borderId="12" xfId="2" applyFont="1" applyFill="1" applyBorder="1" applyAlignment="1" applyProtection="1">
      <alignment horizontal="left"/>
      <protection locked="0"/>
    </xf>
    <xf numFmtId="168" fontId="11" fillId="8" borderId="14" xfId="2" applyNumberFormat="1" applyFont="1" applyFill="1" applyBorder="1" applyAlignment="1" applyProtection="1">
      <alignment horizontal="left"/>
      <protection locked="0"/>
    </xf>
    <xf numFmtId="14" fontId="11" fillId="8" borderId="16" xfId="2" applyNumberFormat="1" applyFont="1" applyFill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8" fontId="0" fillId="0" borderId="0" xfId="4" applyNumberFormat="1" applyFont="1" applyAlignment="1" applyProtection="1">
      <alignment horizontal="center" vertical="center"/>
      <protection locked="0"/>
    </xf>
    <xf numFmtId="0" fontId="15" fillId="3" borderId="0" xfId="0" applyFont="1" applyFill="1" applyAlignment="1">
      <alignment horizontal="center" vertical="top"/>
    </xf>
    <xf numFmtId="168" fontId="0" fillId="0" borderId="0" xfId="4" applyNumberFormat="1" applyFont="1"/>
    <xf numFmtId="0" fontId="0" fillId="3" borderId="0" xfId="0" applyFill="1" applyBorder="1"/>
    <xf numFmtId="168" fontId="18" fillId="3" borderId="0" xfId="0" applyNumberFormat="1" applyFont="1" applyFill="1"/>
  </cellXfs>
  <cellStyles count="5">
    <cellStyle name="Entrada" xfId="2" builtinId="20"/>
    <cellStyle name="Hiperlink" xfId="3" builtinId="8"/>
    <cellStyle name="Moeda" xfId="4" builtinId="4"/>
    <cellStyle name="Normal" xfId="0" builtinId="0"/>
    <cellStyle name="Título 1" xfId="1" builtinId="16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1"/>
        <color rgb="FF0C0A08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2" tint="-9.9948118533890809E-2"/>
        </left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  <protection locked="0" hidden="0"/>
    </dxf>
    <dxf>
      <font>
        <strike val="0"/>
        <outline val="0"/>
        <shadow val="0"/>
        <vertAlign val="baseline"/>
        <sz val="11"/>
        <color rgb="FF0C0A08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2" tint="-9.9948118533890809E-2"/>
        </left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  <protection locked="0" hidden="0"/>
    </dxf>
    <dxf>
      <font>
        <strike val="0"/>
        <outline val="0"/>
        <shadow val="0"/>
        <vertAlign val="baseline"/>
        <sz val="11"/>
        <color rgb="FF0C0A08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2" tint="-9.9948118533890809E-2"/>
        </left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  <protection locked="0" hidden="0"/>
    </dxf>
    <dxf>
      <font>
        <strike val="0"/>
        <outline val="0"/>
        <shadow val="0"/>
        <vertAlign val="baseline"/>
        <sz val="11"/>
        <color rgb="FF0C0A08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2" tint="-0.249977111117893"/>
        </left>
        <right/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A372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</dxf>
    <dxf>
      <border diagonalUp="0" diagonalDown="0" outline="0">
        <left style="thin">
          <color rgb="FF7F7F7F"/>
        </left>
        <right/>
        <top style="thin">
          <color rgb="FF7F7F7F"/>
        </top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border>
        <top style="thin">
          <color theme="2" tint="-9.9948118533890809E-2"/>
        </top>
      </border>
    </dxf>
    <dxf>
      <border diagonalUp="0" diagonalDown="0">
        <left style="thin">
          <color theme="2" tint="-9.9948118533890809E-2"/>
        </left>
        <right style="thin">
          <color theme="2" tint="-9.9948118533890809E-2"/>
        </right>
        <top/>
        <bottom style="thin">
          <color theme="2" tint="-9.9948118533890809E-2"/>
        </bottom>
      </border>
    </dxf>
    <dxf>
      <border diagonalUp="0" diagonalDown="0">
        <left style="thin">
          <color theme="2" tint="-9.9948118533890809E-2"/>
        </left>
        <right style="thin">
          <color theme="2" tint="-9.9948118533890809E-2"/>
        </right>
        <top/>
        <bottom/>
        <vertical style="thin">
          <color theme="2" tint="-9.9948118533890809E-2"/>
        </vertical>
        <horizontal style="thin">
          <color theme="2" tint="-9.9948118533890809E-2"/>
        </horizontal>
      </border>
    </dxf>
    <dxf>
      <border diagonalUp="0" diagonalDown="0" outline="0">
        <left style="thin">
          <color rgb="FF7F7F7F"/>
        </left>
        <right/>
        <top style="thin">
          <color rgb="FF7F7F7F"/>
        </top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border>
        <top style="thin">
          <color theme="2" tint="-9.9948118533890809E-2"/>
        </top>
      </border>
    </dxf>
    <dxf>
      <border diagonalUp="0" diagonalDown="0">
        <left style="thin">
          <color theme="2" tint="-9.9948118533890809E-2"/>
        </left>
        <right style="thin">
          <color theme="2" tint="-9.9948118533890809E-2"/>
        </right>
        <top/>
        <bottom style="thin">
          <color theme="2" tint="-9.9948118533890809E-2"/>
        </bottom>
      </border>
    </dxf>
    <dxf>
      <border diagonalUp="0" diagonalDown="0">
        <left style="thin">
          <color theme="2" tint="-9.9948118533890809E-2"/>
        </left>
        <right style="thin">
          <color theme="2" tint="-9.9948118533890809E-2"/>
        </right>
        <top/>
        <bottom/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border diagonalUp="0" diagonalDown="0" outline="0">
        <left style="thin">
          <color rgb="FF7F7F7F"/>
        </left>
        <right/>
        <top style="thin">
          <color rgb="FF7F7F7F"/>
        </top>
        <bottom style="thin">
          <color rgb="FF7F7F7F"/>
        </bottom>
      </border>
    </dxf>
    <dxf>
      <border>
        <top style="thin">
          <color theme="2" tint="-9.9948118533890809E-2"/>
        </top>
      </border>
    </dxf>
    <dxf>
      <border diagonalUp="0" diagonalDown="0">
        <left style="thin">
          <color theme="2" tint="-9.9948118533890809E-2"/>
        </left>
        <right style="thin">
          <color theme="2" tint="-9.9948118533890809E-2"/>
        </right>
        <top/>
        <bottom style="thin">
          <color theme="2" tint="-9.9948118533890809E-2"/>
        </bottom>
      </border>
    </dxf>
    <dxf>
      <border diagonalUp="0" diagonalDown="0">
        <left style="thin">
          <color theme="2" tint="-9.9948118533890809E-2"/>
        </left>
        <right style="thin">
          <color theme="2" tint="-9.9948118533890809E-2"/>
        </right>
        <top/>
        <bottom/>
        <vertical style="thin">
          <color theme="2" tint="-9.9948118533890809E-2"/>
        </vertical>
        <horizontal style="thin">
          <color theme="2" tint="-9.9948118533890809E-2"/>
        </horizontal>
      </border>
    </dxf>
    <dxf>
      <border diagonalUp="0" diagonalDown="0" outline="0">
        <left style="thin">
          <color rgb="FF7F7F7F"/>
        </left>
        <right/>
        <top style="thin">
          <color rgb="FF7F7F7F"/>
        </top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right" vertical="bottom" textRotation="0" wrapText="0" indent="0" justifyLastLine="0" shrinkToFit="0" readingOrder="0"/>
      <border diagonalUp="0" diagonalDown="0" outline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border>
        <top style="thin">
          <color theme="2" tint="-0.249977111117893"/>
        </top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</dxf>
    <dxf>
      <border diagonalUp="0" diagonalDown="0">
        <left style="thin">
          <color theme="2" tint="-0.249977111117893"/>
        </left>
        <right style="thin">
          <color theme="2" tint="-0.249977111117893"/>
        </right>
        <top/>
        <bottom/>
        <vertical style="thin">
          <color theme="2" tint="-0.249977111117893"/>
        </vertical>
        <horizontal style="thin">
          <color theme="2" tint="-0.249977111117893"/>
        </horizontal>
      </border>
    </dxf>
  </dxfs>
  <tableStyles count="0" defaultTableStyle="TableStyleMedium2" defaultPivotStyle="PivotStyleMedium9"/>
  <colors>
    <mruColors>
      <color rgb="FFFFCC99"/>
      <color rgb="FF2A3723"/>
      <color rgb="FFDCBC98"/>
      <color rgb="FF0C0A08"/>
      <color rgb="FFFF9933"/>
      <color rgb="FFFF9ACB"/>
      <color rgb="FFAF783B"/>
      <color rgb="FFE8E5DD"/>
      <color rgb="FFB9BB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bg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bg1"/>
                </a:solidFill>
              </a:rPr>
              <a:t>VALOR X CATEGORIA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bg1"/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NOTAS!$E$8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FFCC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NOTAS!$D$9:$D$11</c:f>
              <c:strCache>
                <c:ptCount val="3"/>
                <c:pt idx="0">
                  <c:v>FREELANCER</c:v>
                </c:pt>
                <c:pt idx="1">
                  <c:v>CNPJ</c:v>
                </c:pt>
                <c:pt idx="2">
                  <c:v>HOLERITE</c:v>
                </c:pt>
              </c:strCache>
            </c:strRef>
          </c:cat>
          <c:val>
            <c:numRef>
              <c:f>NOTAS!$E$9:$E$11</c:f>
              <c:numCache>
                <c:formatCode>"R$"\ #,##0.00</c:formatCode>
                <c:ptCount val="3"/>
                <c:pt idx="0">
                  <c:v>2500</c:v>
                </c:pt>
                <c:pt idx="1">
                  <c:v>4000</c:v>
                </c:pt>
                <c:pt idx="2">
                  <c:v>6500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06493616"/>
        <c:axId val="40650504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NOTAS!$C$9:$C$11</c15:sqref>
                        </c15:formulaRef>
                      </c:ext>
                    </c:extLst>
                    <c:strCache>
                      <c:ptCount val="3"/>
                      <c:pt idx="0">
                        <c:v>01/10/2026</c:v>
                      </c:pt>
                      <c:pt idx="1">
                        <c:v>05/10/2026</c:v>
                      </c:pt>
                      <c:pt idx="2">
                        <c:v>09/10/2026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formatCode>General</c:formatCode>
                    <c:ptCount val="1"/>
                    <c:pt idx="0">
                      <c:v>1</c:v>
                    </c:pt>
                  </c:numLit>
                </c:val>
              </c15:ser>
            </c15:filteredBarSeries>
          </c:ext>
        </c:extLst>
      </c:barChart>
      <c:catAx>
        <c:axId val="40649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06505040"/>
        <c:crosses val="autoZero"/>
        <c:auto val="1"/>
        <c:lblAlgn val="ctr"/>
        <c:lblOffset val="100"/>
        <c:noMultiLvlLbl val="0"/>
      </c:catAx>
      <c:valAx>
        <c:axId val="406505040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4064936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VALOR X BANCO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Plan3!$B$1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cat>
            <c:strRef>
              <c:f>Plan3!$A$2:$A$4</c:f>
              <c:strCache>
                <c:ptCount val="3"/>
                <c:pt idx="0">
                  <c:v>104 - Caixa Econômica Federal</c:v>
                </c:pt>
                <c:pt idx="1">
                  <c:v>422 - Banco Safra</c:v>
                </c:pt>
                <c:pt idx="2">
                  <c:v>212 - Banco Original</c:v>
                </c:pt>
              </c:strCache>
            </c:strRef>
          </c:cat>
          <c:val>
            <c:numRef>
              <c:f>Plan3!$B$2:$B$4</c:f>
              <c:numCache>
                <c:formatCode>"R$"\ #,##0.00</c:formatCode>
                <c:ptCount val="3"/>
                <c:pt idx="0">
                  <c:v>500000</c:v>
                </c:pt>
                <c:pt idx="1">
                  <c:v>1560635.23</c:v>
                </c:pt>
                <c:pt idx="2">
                  <c:v>234648.22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Plan3!$B$1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FFCC99"/>
            </a:solidFill>
            <a:ln>
              <a:noFill/>
            </a:ln>
            <a:effectLst/>
          </c:spPr>
          <c:invertIfNegative val="0"/>
          <c:dLbls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116889034703995"/>
                      <c:h val="5.7276173811606886E-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Plan3!$A$2:$A$4</c:f>
              <c:strCache>
                <c:ptCount val="3"/>
                <c:pt idx="0">
                  <c:v>104 - Caixa Econômica Federal</c:v>
                </c:pt>
                <c:pt idx="1">
                  <c:v>422 - Banco Safra</c:v>
                </c:pt>
                <c:pt idx="2">
                  <c:v>212 - Banco Original</c:v>
                </c:pt>
              </c:strCache>
            </c:strRef>
          </c:cat>
          <c:val>
            <c:numRef>
              <c:f>Plan3!$B$2:$B$4</c:f>
              <c:numCache>
                <c:formatCode>"R$"\ #,##0.00</c:formatCode>
                <c:ptCount val="3"/>
                <c:pt idx="0">
                  <c:v>500000</c:v>
                </c:pt>
                <c:pt idx="1">
                  <c:v>1560635.23</c:v>
                </c:pt>
                <c:pt idx="2">
                  <c:v>234648.22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8"/>
        <c:axId val="486021504"/>
        <c:axId val="486025856"/>
      </c:barChart>
      <c:catAx>
        <c:axId val="48602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025856"/>
        <c:crosses val="autoZero"/>
        <c:auto val="1"/>
        <c:lblAlgn val="ctr"/>
        <c:lblOffset val="100"/>
        <c:noMultiLvlLbl val="0"/>
      </c:catAx>
      <c:valAx>
        <c:axId val="48602585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48602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GRAFICO!C1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GRAFICO!C1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GRAFICO!C1"/><Relationship Id="rId5" Type="http://schemas.openxmlformats.org/officeDocument/2006/relationships/image" Target="../media/image2.png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hyperlink" Target="#INFORMES!C1"/><Relationship Id="rId7" Type="http://schemas.openxmlformats.org/officeDocument/2006/relationships/chart" Target="../charts/chart2.xml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hyperlink" Target="#NOTAS!C1"/><Relationship Id="rId9" Type="http://schemas.openxmlformats.org/officeDocument/2006/relationships/hyperlink" Target="#GRAFICO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152400</xdr:rowOff>
    </xdr:from>
    <xdr:to>
      <xdr:col>0</xdr:col>
      <xdr:colOff>1857375</xdr:colOff>
      <xdr:row>7</xdr:row>
      <xdr:rowOff>190500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xmlns="" id="{DD5544AB-9FFC-142D-6E26-CD35F994ABBA}"/>
            </a:ext>
            <a:ext uri="{147F2762-F138-4A5C-976F-8EAC2B608ADB}">
              <a16:predDERef xmlns:a16="http://schemas.microsoft.com/office/drawing/2014/main" xmlns="" pred="{07E9C1F5-6973-C4E7-F22A-8FC08C2AB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"/>
          <a:ext cx="1857375" cy="127635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0</xdr:row>
      <xdr:rowOff>47625</xdr:rowOff>
    </xdr:from>
    <xdr:to>
      <xdr:col>0</xdr:col>
      <xdr:colOff>1876425</xdr:colOff>
      <xdr:row>2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xmlns="" id="{07E9C1F5-6973-C4E7-F22A-8FC08C2AB984}"/>
            </a:ext>
            <a:ext uri="{147F2762-F138-4A5C-976F-8EAC2B608ADB}">
              <a16:predDERef xmlns:a16="http://schemas.microsoft.com/office/drawing/2014/main" xmlns="" pred="{DD5544AB-9FFC-142D-6E26-CD35F994ABBA}"/>
            </a:ext>
          </a:extLst>
        </xdr:cNvPr>
        <xdr:cNvSpPr/>
      </xdr:nvSpPr>
      <xdr:spPr>
        <a:xfrm>
          <a:off x="76200" y="47625"/>
          <a:ext cx="1800225" cy="36195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>
              <a:solidFill>
                <a:srgbClr val="E8E5DD"/>
              </a:solidFill>
              <a:latin typeface="Franklin Gothic"/>
            </a:rPr>
            <a:t>LION APP</a:t>
          </a:r>
        </a:p>
      </xdr:txBody>
    </xdr:sp>
    <xdr:clientData/>
  </xdr:twoCellAnchor>
  <xdr:twoCellAnchor>
    <xdr:from>
      <xdr:col>0</xdr:col>
      <xdr:colOff>76200</xdr:colOff>
      <xdr:row>9</xdr:row>
      <xdr:rowOff>85725</xdr:rowOff>
    </xdr:from>
    <xdr:to>
      <xdr:col>0</xdr:col>
      <xdr:colOff>1914525</xdr:colOff>
      <xdr:row>11</xdr:row>
      <xdr:rowOff>76200</xdr:rowOff>
    </xdr:to>
    <xdr:sp macro="" textlink="">
      <xdr:nvSpPr>
        <xdr:cNvPr id="2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6715A6CC-3A6A-A1DB-3E76-6B956BB6C7D0}"/>
            </a:ext>
            <a:ext uri="{147F2762-F138-4A5C-976F-8EAC2B608ADB}">
              <a16:predDERef xmlns:a16="http://schemas.microsoft.com/office/drawing/2014/main" xmlns="" pred="{07E9C1F5-6973-C4E7-F22A-8FC08C2AB984}"/>
            </a:ext>
          </a:extLst>
        </xdr:cNvPr>
        <xdr:cNvSpPr/>
      </xdr:nvSpPr>
      <xdr:spPr>
        <a:xfrm>
          <a:off x="76200" y="1800225"/>
          <a:ext cx="1838325" cy="371475"/>
        </a:xfrm>
        <a:prstGeom prst="roundRect">
          <a:avLst/>
        </a:prstGeom>
        <a:solidFill>
          <a:srgbClr val="DCBC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85725</xdr:colOff>
      <xdr:row>11</xdr:row>
      <xdr:rowOff>161925</xdr:rowOff>
    </xdr:from>
    <xdr:to>
      <xdr:col>0</xdr:col>
      <xdr:colOff>1924050</xdr:colOff>
      <xdr:row>13</xdr:row>
      <xdr:rowOff>152400</xdr:rowOff>
    </xdr:to>
    <xdr:sp macro="" textlink="">
      <xdr:nvSpPr>
        <xdr:cNvPr id="3" name="Retângulo Arredondad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7A41256-9299-4DF9-9708-1493DA40FCED}"/>
            </a:ext>
            <a:ext uri="{147F2762-F138-4A5C-976F-8EAC2B608ADB}">
              <a16:predDERef xmlns:a16="http://schemas.microsoft.com/office/drawing/2014/main" xmlns="" pred="{6715A6CC-3A6A-A1DB-3E76-6B956BB6C7D0}"/>
            </a:ext>
          </a:extLst>
        </xdr:cNvPr>
        <xdr:cNvSpPr/>
      </xdr:nvSpPr>
      <xdr:spPr>
        <a:xfrm>
          <a:off x="85725" y="2257425"/>
          <a:ext cx="18383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95250</xdr:colOff>
      <xdr:row>14</xdr:row>
      <xdr:rowOff>66675</xdr:rowOff>
    </xdr:from>
    <xdr:to>
      <xdr:col>0</xdr:col>
      <xdr:colOff>1933575</xdr:colOff>
      <xdr:row>16</xdr:row>
      <xdr:rowOff>57150</xdr:rowOff>
    </xdr:to>
    <xdr:sp macro="" textlink="">
      <xdr:nvSpPr>
        <xdr:cNvPr id="4" name="Retângulo Arredondad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8AA0A94E-7223-4757-BA7D-46C6CDA719B2}"/>
            </a:ext>
            <a:ext uri="{147F2762-F138-4A5C-976F-8EAC2B608ADB}">
              <a16:predDERef xmlns:a16="http://schemas.microsoft.com/office/drawing/2014/main" xmlns="" pred="{67A41256-9299-4DF9-9708-1493DA40FCED}"/>
            </a:ext>
          </a:extLst>
        </xdr:cNvPr>
        <xdr:cNvSpPr/>
      </xdr:nvSpPr>
      <xdr:spPr>
        <a:xfrm>
          <a:off x="95250" y="2733675"/>
          <a:ext cx="18383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304800</xdr:colOff>
      <xdr:row>19</xdr:row>
      <xdr:rowOff>38100</xdr:rowOff>
    </xdr:from>
    <xdr:to>
      <xdr:col>0</xdr:col>
      <xdr:colOff>1743075</xdr:colOff>
      <xdr:row>19</xdr:row>
      <xdr:rowOff>38100</xdr:rowOff>
    </xdr:to>
    <xdr:cxnSp macro="">
      <xdr:nvCxnSpPr>
        <xdr:cNvPr id="6" name="Conector reto 5"/>
        <xdr:cNvCxnSpPr/>
      </xdr:nvCxnSpPr>
      <xdr:spPr>
        <a:xfrm>
          <a:off x="304800" y="3867150"/>
          <a:ext cx="1438275" cy="0"/>
        </a:xfrm>
        <a:prstGeom prst="line">
          <a:avLst/>
        </a:prstGeom>
        <a:ln w="12700">
          <a:solidFill>
            <a:srgbClr val="AF783B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752475</xdr:colOff>
      <xdr:row>21</xdr:row>
      <xdr:rowOff>22225</xdr:rowOff>
    </xdr:from>
    <xdr:to>
      <xdr:col>0</xdr:col>
      <xdr:colOff>1171575</xdr:colOff>
      <xdr:row>23</xdr:row>
      <xdr:rowOff>60325</xdr:rowOff>
    </xdr:to>
    <xdr:pic>
      <xdr:nvPicPr>
        <xdr:cNvPr id="9" name="Icon_link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4232275"/>
          <a:ext cx="419100" cy="419100"/>
        </a:xfrm>
        <a:prstGeom prst="rect">
          <a:avLst/>
        </a:prstGeom>
      </xdr:spPr>
    </xdr:pic>
    <xdr:clientData/>
  </xdr:twoCellAnchor>
  <xdr:twoCellAnchor>
    <xdr:from>
      <xdr:col>3</xdr:col>
      <xdr:colOff>142874</xdr:colOff>
      <xdr:row>19</xdr:row>
      <xdr:rowOff>95250</xdr:rowOff>
    </xdr:from>
    <xdr:to>
      <xdr:col>3</xdr:col>
      <xdr:colOff>2990849</xdr:colOff>
      <xdr:row>20</xdr:row>
      <xdr:rowOff>180975</xdr:rowOff>
    </xdr:to>
    <xdr:sp macro="" textlink="">
      <xdr:nvSpPr>
        <xdr:cNvPr id="5" name="Retângulo de cantos arredondados 4">
          <a:hlinkClick xmlns:r="http://schemas.openxmlformats.org/officeDocument/2006/relationships" r:id="rId3"/>
        </xdr:cNvPr>
        <xdr:cNvSpPr/>
      </xdr:nvSpPr>
      <xdr:spPr>
        <a:xfrm>
          <a:off x="6819899" y="4114800"/>
          <a:ext cx="2847975" cy="276225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2A3723"/>
              </a:solidFill>
              <a:latin typeface="Arial" panose="020B0604020202020204" pitchFamily="34" charset="0"/>
              <a:cs typeface="Arial" panose="020B0604020202020204" pitchFamily="34" charset="0"/>
            </a:rPr>
            <a:t>PROXIMO -&gt;</a:t>
          </a:r>
        </a:p>
      </xdr:txBody>
    </xdr:sp>
    <xdr:clientData/>
  </xdr:twoCellAnchor>
  <xdr:twoCellAnchor>
    <xdr:from>
      <xdr:col>0</xdr:col>
      <xdr:colOff>142875</xdr:colOff>
      <xdr:row>16</xdr:row>
      <xdr:rowOff>114300</xdr:rowOff>
    </xdr:from>
    <xdr:to>
      <xdr:col>1</xdr:col>
      <xdr:colOff>9525</xdr:colOff>
      <xdr:row>18</xdr:row>
      <xdr:rowOff>85725</xdr:rowOff>
    </xdr:to>
    <xdr:sp macro="" textlink="">
      <xdr:nvSpPr>
        <xdr:cNvPr id="10" name="Retângulo Arredondado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8AA0A94E-7223-4757-BA7D-46C6CDA719B2}"/>
            </a:ext>
            <a:ext uri="{147F2762-F138-4A5C-976F-8EAC2B608ADB}">
              <a16:predDERef xmlns:a16="http://schemas.microsoft.com/office/drawing/2014/main" xmlns="" pred="{67A41256-9299-4DF9-9708-1493DA40FCED}"/>
            </a:ext>
          </a:extLst>
        </xdr:cNvPr>
        <xdr:cNvSpPr/>
      </xdr:nvSpPr>
      <xdr:spPr>
        <a:xfrm>
          <a:off x="142875" y="3343275"/>
          <a:ext cx="1838325" cy="371475"/>
        </a:xfrm>
        <a:prstGeom prst="roundRect">
          <a:avLst/>
        </a:prstGeom>
        <a:solidFill>
          <a:srgbClr val="2A37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GRAFICO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171450</xdr:rowOff>
    </xdr:from>
    <xdr:to>
      <xdr:col>0</xdr:col>
      <xdr:colOff>1857375</xdr:colOff>
      <xdr:row>7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DD5544AB-9FFC-142D-6E26-CD35F994ABBA}"/>
            </a:ext>
            <a:ext uri="{147F2762-F138-4A5C-976F-8EAC2B608ADB}">
              <a16:predDERef xmlns:a16="http://schemas.microsoft.com/office/drawing/2014/main" xmlns="" pred="{07E9C1F5-6973-C4E7-F22A-8FC08C2AB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1857375" cy="127635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0</xdr:row>
      <xdr:rowOff>47625</xdr:rowOff>
    </xdr:from>
    <xdr:to>
      <xdr:col>0</xdr:col>
      <xdr:colOff>1876425</xdr:colOff>
      <xdr:row>2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xmlns="" id="{07E9C1F5-6973-C4E7-F22A-8FC08C2AB984}"/>
            </a:ext>
            <a:ext uri="{147F2762-F138-4A5C-976F-8EAC2B608ADB}">
              <a16:predDERef xmlns:a16="http://schemas.microsoft.com/office/drawing/2014/main" xmlns="" pred="{DD5544AB-9FFC-142D-6E26-CD35F994ABBA}"/>
            </a:ext>
          </a:extLst>
        </xdr:cNvPr>
        <xdr:cNvSpPr/>
      </xdr:nvSpPr>
      <xdr:spPr>
        <a:xfrm>
          <a:off x="76200" y="47625"/>
          <a:ext cx="1800225" cy="36195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>
              <a:solidFill>
                <a:srgbClr val="E8E5DD"/>
              </a:solidFill>
              <a:latin typeface="Franklin Gothic"/>
            </a:rPr>
            <a:t>LION APP</a:t>
          </a:r>
        </a:p>
      </xdr:txBody>
    </xdr:sp>
    <xdr:clientData/>
  </xdr:twoCellAnchor>
  <xdr:twoCellAnchor>
    <xdr:from>
      <xdr:col>0</xdr:col>
      <xdr:colOff>76200</xdr:colOff>
      <xdr:row>9</xdr:row>
      <xdr:rowOff>85725</xdr:rowOff>
    </xdr:from>
    <xdr:to>
      <xdr:col>0</xdr:col>
      <xdr:colOff>1914525</xdr:colOff>
      <xdr:row>11</xdr:row>
      <xdr:rowOff>76200</xdr:rowOff>
    </xdr:to>
    <xdr:sp macro="" textlink="">
      <xdr:nvSpPr>
        <xdr:cNvPr id="4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6715A6CC-3A6A-A1DB-3E76-6B956BB6C7D0}"/>
            </a:ext>
            <a:ext uri="{147F2762-F138-4A5C-976F-8EAC2B608ADB}">
              <a16:predDERef xmlns:a16="http://schemas.microsoft.com/office/drawing/2014/main" xmlns="" pred="{07E9C1F5-6973-C4E7-F22A-8FC08C2AB984}"/>
            </a:ext>
          </a:extLst>
        </xdr:cNvPr>
        <xdr:cNvSpPr/>
      </xdr:nvSpPr>
      <xdr:spPr>
        <a:xfrm>
          <a:off x="76200" y="1800225"/>
          <a:ext cx="18383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85725</xdr:colOff>
      <xdr:row>11</xdr:row>
      <xdr:rowOff>161925</xdr:rowOff>
    </xdr:from>
    <xdr:to>
      <xdr:col>0</xdr:col>
      <xdr:colOff>1924050</xdr:colOff>
      <xdr:row>13</xdr:row>
      <xdr:rowOff>152400</xdr:rowOff>
    </xdr:to>
    <xdr:sp macro="" textlink="">
      <xdr:nvSpPr>
        <xdr:cNvPr id="5" name="Retângulo Arredondad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7A41256-9299-4DF9-9708-1493DA40FCED}"/>
            </a:ext>
            <a:ext uri="{147F2762-F138-4A5C-976F-8EAC2B608ADB}">
              <a16:predDERef xmlns:a16="http://schemas.microsoft.com/office/drawing/2014/main" xmlns="" pred="{6715A6CC-3A6A-A1DB-3E76-6B956BB6C7D0}"/>
            </a:ext>
          </a:extLst>
        </xdr:cNvPr>
        <xdr:cNvSpPr/>
      </xdr:nvSpPr>
      <xdr:spPr>
        <a:xfrm>
          <a:off x="85725" y="2257425"/>
          <a:ext cx="1838325" cy="371475"/>
        </a:xfrm>
        <a:prstGeom prst="roundRect">
          <a:avLst/>
        </a:prstGeom>
        <a:solidFill>
          <a:srgbClr val="DCBC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95250</xdr:colOff>
      <xdr:row>14</xdr:row>
      <xdr:rowOff>66675</xdr:rowOff>
    </xdr:from>
    <xdr:to>
      <xdr:col>0</xdr:col>
      <xdr:colOff>1933575</xdr:colOff>
      <xdr:row>16</xdr:row>
      <xdr:rowOff>57150</xdr:rowOff>
    </xdr:to>
    <xdr:sp macro="" textlink="">
      <xdr:nvSpPr>
        <xdr:cNvPr id="6" name="Retângulo Arredondad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8AA0A94E-7223-4757-BA7D-46C6CDA719B2}"/>
            </a:ext>
            <a:ext uri="{147F2762-F138-4A5C-976F-8EAC2B608ADB}">
              <a16:predDERef xmlns:a16="http://schemas.microsoft.com/office/drawing/2014/main" xmlns="" pred="{67A41256-9299-4DF9-9708-1493DA40FCED}"/>
            </a:ext>
          </a:extLst>
        </xdr:cNvPr>
        <xdr:cNvSpPr/>
      </xdr:nvSpPr>
      <xdr:spPr>
        <a:xfrm>
          <a:off x="95250" y="2733675"/>
          <a:ext cx="18383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NOTAS		</a:t>
          </a:r>
        </a:p>
      </xdr:txBody>
    </xdr:sp>
    <xdr:clientData/>
  </xdr:twoCellAnchor>
  <xdr:twoCellAnchor editAs="absolute">
    <xdr:from>
      <xdr:col>0</xdr:col>
      <xdr:colOff>228600</xdr:colOff>
      <xdr:row>19</xdr:row>
      <xdr:rowOff>85725</xdr:rowOff>
    </xdr:from>
    <xdr:to>
      <xdr:col>0</xdr:col>
      <xdr:colOff>1666875</xdr:colOff>
      <xdr:row>19</xdr:row>
      <xdr:rowOff>85725</xdr:rowOff>
    </xdr:to>
    <xdr:cxnSp macro="">
      <xdr:nvCxnSpPr>
        <xdr:cNvPr id="7" name="Conector reto 6"/>
        <xdr:cNvCxnSpPr/>
      </xdr:nvCxnSpPr>
      <xdr:spPr>
        <a:xfrm>
          <a:off x="228600" y="3895725"/>
          <a:ext cx="1438275" cy="0"/>
        </a:xfrm>
        <a:prstGeom prst="line">
          <a:avLst/>
        </a:prstGeom>
        <a:ln w="12700">
          <a:solidFill>
            <a:srgbClr val="AF783B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790575</xdr:colOff>
      <xdr:row>21</xdr:row>
      <xdr:rowOff>60325</xdr:rowOff>
    </xdr:from>
    <xdr:to>
      <xdr:col>0</xdr:col>
      <xdr:colOff>1209675</xdr:colOff>
      <xdr:row>23</xdr:row>
      <xdr:rowOff>79375</xdr:rowOff>
    </xdr:to>
    <xdr:pic>
      <xdr:nvPicPr>
        <xdr:cNvPr id="10" name="Icon_link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4251325"/>
          <a:ext cx="419100" cy="4191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2847975</xdr:colOff>
      <xdr:row>26</xdr:row>
      <xdr:rowOff>85725</xdr:rowOff>
    </xdr:to>
    <xdr:sp macro="" textlink="">
      <xdr:nvSpPr>
        <xdr:cNvPr id="11" name="Retângulo de cantos arredondados 10">
          <a:hlinkClick xmlns:r="http://schemas.openxmlformats.org/officeDocument/2006/relationships" r:id="rId2"/>
        </xdr:cNvPr>
        <xdr:cNvSpPr/>
      </xdr:nvSpPr>
      <xdr:spPr>
        <a:xfrm>
          <a:off x="2581275" y="4924425"/>
          <a:ext cx="2847975" cy="276225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2A3723"/>
              </a:solidFill>
              <a:latin typeface="Arial" panose="020B0604020202020204" pitchFamily="34" charset="0"/>
              <a:cs typeface="Arial" panose="020B0604020202020204" pitchFamily="34" charset="0"/>
            </a:rPr>
            <a:t>&lt;- ANTERIOR</a:t>
          </a:r>
        </a:p>
      </xdr:txBody>
    </xdr:sp>
    <xdr:clientData/>
  </xdr:twoCellAnchor>
  <xdr:twoCellAnchor>
    <xdr:from>
      <xdr:col>3</xdr:col>
      <xdr:colOff>57150</xdr:colOff>
      <xdr:row>25</xdr:row>
      <xdr:rowOff>9525</xdr:rowOff>
    </xdr:from>
    <xdr:to>
      <xdr:col>4</xdr:col>
      <xdr:colOff>57150</xdr:colOff>
      <xdr:row>26</xdr:row>
      <xdr:rowOff>95250</xdr:rowOff>
    </xdr:to>
    <xdr:sp macro="" textlink="">
      <xdr:nvSpPr>
        <xdr:cNvPr id="13" name="Retângulo de cantos arredondados 12">
          <a:hlinkClick xmlns:r="http://schemas.openxmlformats.org/officeDocument/2006/relationships" r:id="rId4"/>
        </xdr:cNvPr>
        <xdr:cNvSpPr/>
      </xdr:nvSpPr>
      <xdr:spPr>
        <a:xfrm>
          <a:off x="6124575" y="4933950"/>
          <a:ext cx="2847975" cy="276225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2A3723"/>
              </a:solidFill>
              <a:latin typeface="Arial" panose="020B0604020202020204" pitchFamily="34" charset="0"/>
              <a:cs typeface="Arial" panose="020B0604020202020204" pitchFamily="34" charset="0"/>
            </a:rPr>
            <a:t>PROXIMO -&gt;</a:t>
          </a:r>
        </a:p>
      </xdr:txBody>
    </xdr:sp>
    <xdr:clientData/>
  </xdr:twoCellAnchor>
  <xdr:twoCellAnchor>
    <xdr:from>
      <xdr:col>0</xdr:col>
      <xdr:colOff>76200</xdr:colOff>
      <xdr:row>16</xdr:row>
      <xdr:rowOff>95250</xdr:rowOff>
    </xdr:from>
    <xdr:to>
      <xdr:col>0</xdr:col>
      <xdr:colOff>1914525</xdr:colOff>
      <xdr:row>18</xdr:row>
      <xdr:rowOff>66675</xdr:rowOff>
    </xdr:to>
    <xdr:sp macro="" textlink="">
      <xdr:nvSpPr>
        <xdr:cNvPr id="16" name="Retângulo Arredondado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8AA0A94E-7223-4757-BA7D-46C6CDA719B2}"/>
            </a:ext>
            <a:ext uri="{147F2762-F138-4A5C-976F-8EAC2B608ADB}">
              <a16:predDERef xmlns:a16="http://schemas.microsoft.com/office/drawing/2014/main" xmlns="" pred="{67A41256-9299-4DF9-9708-1493DA40FCED}"/>
            </a:ext>
          </a:extLst>
        </xdr:cNvPr>
        <xdr:cNvSpPr/>
      </xdr:nvSpPr>
      <xdr:spPr>
        <a:xfrm>
          <a:off x="76200" y="3314700"/>
          <a:ext cx="1838325" cy="371475"/>
        </a:xfrm>
        <a:prstGeom prst="roundRect">
          <a:avLst/>
        </a:prstGeom>
        <a:solidFill>
          <a:srgbClr val="2A37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GRAFICO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171450</xdr:rowOff>
    </xdr:from>
    <xdr:to>
      <xdr:col>0</xdr:col>
      <xdr:colOff>1857375</xdr:colOff>
      <xdr:row>8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DD5544AB-9FFC-142D-6E26-CD35F994ABBA}"/>
            </a:ext>
            <a:ext uri="{147F2762-F138-4A5C-976F-8EAC2B608ADB}">
              <a16:predDERef xmlns:a16="http://schemas.microsoft.com/office/drawing/2014/main" xmlns="" pred="{07E9C1F5-6973-C4E7-F22A-8FC08C2AB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1857375" cy="127635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0</xdr:row>
      <xdr:rowOff>47625</xdr:rowOff>
    </xdr:from>
    <xdr:to>
      <xdr:col>0</xdr:col>
      <xdr:colOff>1876425</xdr:colOff>
      <xdr:row>2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xmlns="" id="{07E9C1F5-6973-C4E7-F22A-8FC08C2AB984}"/>
            </a:ext>
            <a:ext uri="{147F2762-F138-4A5C-976F-8EAC2B608ADB}">
              <a16:predDERef xmlns:a16="http://schemas.microsoft.com/office/drawing/2014/main" xmlns="" pred="{DD5544AB-9FFC-142D-6E26-CD35F994ABBA}"/>
            </a:ext>
          </a:extLst>
        </xdr:cNvPr>
        <xdr:cNvSpPr/>
      </xdr:nvSpPr>
      <xdr:spPr>
        <a:xfrm>
          <a:off x="76200" y="47625"/>
          <a:ext cx="1800225" cy="36195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>
              <a:solidFill>
                <a:srgbClr val="E8E5DD"/>
              </a:solidFill>
              <a:latin typeface="Franklin Gothic"/>
            </a:rPr>
            <a:t>LION APP</a:t>
          </a:r>
        </a:p>
      </xdr:txBody>
    </xdr:sp>
    <xdr:clientData/>
  </xdr:twoCellAnchor>
  <xdr:twoCellAnchor>
    <xdr:from>
      <xdr:col>0</xdr:col>
      <xdr:colOff>76200</xdr:colOff>
      <xdr:row>9</xdr:row>
      <xdr:rowOff>85725</xdr:rowOff>
    </xdr:from>
    <xdr:to>
      <xdr:col>0</xdr:col>
      <xdr:colOff>1914525</xdr:colOff>
      <xdr:row>11</xdr:row>
      <xdr:rowOff>76200</xdr:rowOff>
    </xdr:to>
    <xdr:sp macro="" textlink="">
      <xdr:nvSpPr>
        <xdr:cNvPr id="4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6715A6CC-3A6A-A1DB-3E76-6B956BB6C7D0}"/>
            </a:ext>
            <a:ext uri="{147F2762-F138-4A5C-976F-8EAC2B608ADB}">
              <a16:predDERef xmlns:a16="http://schemas.microsoft.com/office/drawing/2014/main" xmlns="" pred="{07E9C1F5-6973-C4E7-F22A-8FC08C2AB984}"/>
            </a:ext>
          </a:extLst>
        </xdr:cNvPr>
        <xdr:cNvSpPr/>
      </xdr:nvSpPr>
      <xdr:spPr>
        <a:xfrm>
          <a:off x="76200" y="1800225"/>
          <a:ext cx="18383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85725</xdr:colOff>
      <xdr:row>11</xdr:row>
      <xdr:rowOff>161925</xdr:rowOff>
    </xdr:from>
    <xdr:to>
      <xdr:col>0</xdr:col>
      <xdr:colOff>1924050</xdr:colOff>
      <xdr:row>13</xdr:row>
      <xdr:rowOff>152400</xdr:rowOff>
    </xdr:to>
    <xdr:sp macro="" textlink="">
      <xdr:nvSpPr>
        <xdr:cNvPr id="5" name="Retângulo Arredondad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7A41256-9299-4DF9-9708-1493DA40FCED}"/>
            </a:ext>
            <a:ext uri="{147F2762-F138-4A5C-976F-8EAC2B608ADB}">
              <a16:predDERef xmlns:a16="http://schemas.microsoft.com/office/drawing/2014/main" xmlns="" pred="{6715A6CC-3A6A-A1DB-3E76-6B956BB6C7D0}"/>
            </a:ext>
          </a:extLst>
        </xdr:cNvPr>
        <xdr:cNvSpPr/>
      </xdr:nvSpPr>
      <xdr:spPr>
        <a:xfrm>
          <a:off x="85725" y="2257425"/>
          <a:ext cx="18383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95250</xdr:colOff>
      <xdr:row>14</xdr:row>
      <xdr:rowOff>66675</xdr:rowOff>
    </xdr:from>
    <xdr:to>
      <xdr:col>0</xdr:col>
      <xdr:colOff>1933575</xdr:colOff>
      <xdr:row>16</xdr:row>
      <xdr:rowOff>57150</xdr:rowOff>
    </xdr:to>
    <xdr:sp macro="" textlink="">
      <xdr:nvSpPr>
        <xdr:cNvPr id="6" name="Retângulo Arredondad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8AA0A94E-7223-4757-BA7D-46C6CDA719B2}"/>
            </a:ext>
            <a:ext uri="{147F2762-F138-4A5C-976F-8EAC2B608ADB}">
              <a16:predDERef xmlns:a16="http://schemas.microsoft.com/office/drawing/2014/main" xmlns="" pred="{67A41256-9299-4DF9-9708-1493DA40FCED}"/>
            </a:ext>
          </a:extLst>
        </xdr:cNvPr>
        <xdr:cNvSpPr/>
      </xdr:nvSpPr>
      <xdr:spPr>
        <a:xfrm>
          <a:off x="95250" y="2733675"/>
          <a:ext cx="1838325" cy="371475"/>
        </a:xfrm>
        <a:prstGeom prst="roundRect">
          <a:avLst/>
        </a:prstGeom>
        <a:solidFill>
          <a:srgbClr val="DCBC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257175</xdr:colOff>
      <xdr:row>19</xdr:row>
      <xdr:rowOff>123825</xdr:rowOff>
    </xdr:from>
    <xdr:to>
      <xdr:col>0</xdr:col>
      <xdr:colOff>1695450</xdr:colOff>
      <xdr:row>19</xdr:row>
      <xdr:rowOff>123825</xdr:rowOff>
    </xdr:to>
    <xdr:cxnSp macro="">
      <xdr:nvCxnSpPr>
        <xdr:cNvPr id="7" name="Conector reto 6"/>
        <xdr:cNvCxnSpPr/>
      </xdr:nvCxnSpPr>
      <xdr:spPr>
        <a:xfrm>
          <a:off x="257175" y="3819525"/>
          <a:ext cx="1438275" cy="0"/>
        </a:xfrm>
        <a:prstGeom prst="line">
          <a:avLst/>
        </a:prstGeom>
        <a:ln w="12700">
          <a:solidFill>
            <a:srgbClr val="AF783B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800100</xdr:colOff>
      <xdr:row>21</xdr:row>
      <xdr:rowOff>60325</xdr:rowOff>
    </xdr:from>
    <xdr:to>
      <xdr:col>0</xdr:col>
      <xdr:colOff>1219200</xdr:colOff>
      <xdr:row>23</xdr:row>
      <xdr:rowOff>98425</xdr:rowOff>
    </xdr:to>
    <xdr:pic>
      <xdr:nvPicPr>
        <xdr:cNvPr id="8" name="Icon_link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4137025"/>
          <a:ext cx="419100" cy="419100"/>
        </a:xfrm>
        <a:prstGeom prst="rect">
          <a:avLst/>
        </a:prstGeom>
      </xdr:spPr>
    </xdr:pic>
    <xdr:clientData/>
  </xdr:twoCellAnchor>
  <xdr:twoCellAnchor>
    <xdr:from>
      <xdr:col>1</xdr:col>
      <xdr:colOff>600076</xdr:colOff>
      <xdr:row>4</xdr:row>
      <xdr:rowOff>76200</xdr:rowOff>
    </xdr:from>
    <xdr:to>
      <xdr:col>3</xdr:col>
      <xdr:colOff>142875</xdr:colOff>
      <xdr:row>5</xdr:row>
      <xdr:rowOff>123825</xdr:rowOff>
    </xdr:to>
    <xdr:sp macro="" textlink="">
      <xdr:nvSpPr>
        <xdr:cNvPr id="9" name="Retângulo de cantos arredondados 8">
          <a:hlinkClick xmlns:r="http://schemas.openxmlformats.org/officeDocument/2006/relationships" r:id="rId3"/>
        </xdr:cNvPr>
        <xdr:cNvSpPr/>
      </xdr:nvSpPr>
      <xdr:spPr>
        <a:xfrm>
          <a:off x="2571751" y="914400"/>
          <a:ext cx="1352549" cy="238125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2A3723"/>
              </a:solidFill>
              <a:latin typeface="Arial" panose="020B0604020202020204" pitchFamily="34" charset="0"/>
              <a:cs typeface="Arial" panose="020B0604020202020204" pitchFamily="34" charset="0"/>
            </a:rPr>
            <a:t>&lt;- ANTERIOR</a:t>
          </a:r>
        </a:p>
      </xdr:txBody>
    </xdr:sp>
    <xdr:clientData/>
  </xdr:twoCellAnchor>
  <xdr:twoCellAnchor>
    <xdr:from>
      <xdr:col>3</xdr:col>
      <xdr:colOff>1438275</xdr:colOff>
      <xdr:row>4</xdr:row>
      <xdr:rowOff>66675</xdr:rowOff>
    </xdr:from>
    <xdr:to>
      <xdr:col>5</xdr:col>
      <xdr:colOff>0</xdr:colOff>
      <xdr:row>5</xdr:row>
      <xdr:rowOff>114300</xdr:rowOff>
    </xdr:to>
    <xdr:sp macro="" textlink="">
      <xdr:nvSpPr>
        <xdr:cNvPr id="13" name="Retângulo de cantos arredondados 12">
          <a:hlinkClick xmlns:r="http://schemas.openxmlformats.org/officeDocument/2006/relationships" r:id="rId6"/>
        </xdr:cNvPr>
        <xdr:cNvSpPr/>
      </xdr:nvSpPr>
      <xdr:spPr>
        <a:xfrm>
          <a:off x="5219700" y="904875"/>
          <a:ext cx="1323975" cy="238125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2A3723"/>
              </a:solidFill>
              <a:latin typeface="Arial" panose="020B0604020202020204" pitchFamily="34" charset="0"/>
              <a:cs typeface="Arial" panose="020B0604020202020204" pitchFamily="34" charset="0"/>
            </a:rPr>
            <a:t>PROXIMO -&gt;</a:t>
          </a:r>
        </a:p>
      </xdr:txBody>
    </xdr:sp>
    <xdr:clientData/>
  </xdr:twoCellAnchor>
  <xdr:twoCellAnchor>
    <xdr:from>
      <xdr:col>0</xdr:col>
      <xdr:colOff>114300</xdr:colOff>
      <xdr:row>16</xdr:row>
      <xdr:rowOff>171450</xdr:rowOff>
    </xdr:from>
    <xdr:to>
      <xdr:col>0</xdr:col>
      <xdr:colOff>1952625</xdr:colOff>
      <xdr:row>18</xdr:row>
      <xdr:rowOff>161925</xdr:rowOff>
    </xdr:to>
    <xdr:sp macro="" textlink="">
      <xdr:nvSpPr>
        <xdr:cNvPr id="15" name="Retângulo Arredondado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8AA0A94E-7223-4757-BA7D-46C6CDA719B2}"/>
            </a:ext>
            <a:ext uri="{147F2762-F138-4A5C-976F-8EAC2B608ADB}">
              <a16:predDERef xmlns:a16="http://schemas.microsoft.com/office/drawing/2014/main" xmlns="" pred="{67A41256-9299-4DF9-9708-1493DA40FCED}"/>
            </a:ext>
          </a:extLst>
        </xdr:cNvPr>
        <xdr:cNvSpPr/>
      </xdr:nvSpPr>
      <xdr:spPr>
        <a:xfrm>
          <a:off x="114300" y="3295650"/>
          <a:ext cx="1838325" cy="371475"/>
        </a:xfrm>
        <a:prstGeom prst="roundRect">
          <a:avLst/>
        </a:prstGeom>
        <a:solidFill>
          <a:srgbClr val="2A37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GRAFICO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171450</xdr:rowOff>
    </xdr:from>
    <xdr:to>
      <xdr:col>0</xdr:col>
      <xdr:colOff>1819275</xdr:colOff>
      <xdr:row>8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DD5544AB-9FFC-142D-6E26-CD35F994ABBA}"/>
            </a:ext>
            <a:ext uri="{147F2762-F138-4A5C-976F-8EAC2B608ADB}">
              <a16:predDERef xmlns:a16="http://schemas.microsoft.com/office/drawing/2014/main" xmlns="" pred="{07E9C1F5-6973-C4E7-F22A-8FC08C2AB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"/>
          <a:ext cx="1819275" cy="127635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0</xdr:row>
      <xdr:rowOff>47625</xdr:rowOff>
    </xdr:from>
    <xdr:to>
      <xdr:col>0</xdr:col>
      <xdr:colOff>1876425</xdr:colOff>
      <xdr:row>2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xmlns="" id="{07E9C1F5-6973-C4E7-F22A-8FC08C2AB984}"/>
            </a:ext>
            <a:ext uri="{147F2762-F138-4A5C-976F-8EAC2B608ADB}">
              <a16:predDERef xmlns:a16="http://schemas.microsoft.com/office/drawing/2014/main" xmlns="" pred="{DD5544AB-9FFC-142D-6E26-CD35F994ABBA}"/>
            </a:ext>
          </a:extLst>
        </xdr:cNvPr>
        <xdr:cNvSpPr/>
      </xdr:nvSpPr>
      <xdr:spPr>
        <a:xfrm>
          <a:off x="76200" y="47625"/>
          <a:ext cx="1800225" cy="361950"/>
        </a:xfrm>
        <a:prstGeom prst="rect">
          <a:avLst/>
        </a:prstGeom>
        <a:noFill/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>
              <a:solidFill>
                <a:srgbClr val="E8E5DD"/>
              </a:solidFill>
              <a:latin typeface="Franklin Gothic"/>
            </a:rPr>
            <a:t>LION APP</a:t>
          </a:r>
        </a:p>
      </xdr:txBody>
    </xdr:sp>
    <xdr:clientData/>
  </xdr:twoCellAnchor>
  <xdr:twoCellAnchor>
    <xdr:from>
      <xdr:col>0</xdr:col>
      <xdr:colOff>76200</xdr:colOff>
      <xdr:row>9</xdr:row>
      <xdr:rowOff>85725</xdr:rowOff>
    </xdr:from>
    <xdr:to>
      <xdr:col>0</xdr:col>
      <xdr:colOff>1914525</xdr:colOff>
      <xdr:row>11</xdr:row>
      <xdr:rowOff>76200</xdr:rowOff>
    </xdr:to>
    <xdr:sp macro="" textlink="">
      <xdr:nvSpPr>
        <xdr:cNvPr id="4" name="Retângulo Arredond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6715A6CC-3A6A-A1DB-3E76-6B956BB6C7D0}"/>
            </a:ext>
            <a:ext uri="{147F2762-F138-4A5C-976F-8EAC2B608ADB}">
              <a16:predDERef xmlns:a16="http://schemas.microsoft.com/office/drawing/2014/main" xmlns="" pred="{07E9C1F5-6973-C4E7-F22A-8FC08C2AB984}"/>
            </a:ext>
          </a:extLst>
        </xdr:cNvPr>
        <xdr:cNvSpPr/>
      </xdr:nvSpPr>
      <xdr:spPr>
        <a:xfrm>
          <a:off x="76200" y="1876425"/>
          <a:ext cx="18383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85725</xdr:colOff>
      <xdr:row>11</xdr:row>
      <xdr:rowOff>161925</xdr:rowOff>
    </xdr:from>
    <xdr:to>
      <xdr:col>0</xdr:col>
      <xdr:colOff>1924050</xdr:colOff>
      <xdr:row>13</xdr:row>
      <xdr:rowOff>152400</xdr:rowOff>
    </xdr:to>
    <xdr:sp macro="" textlink="">
      <xdr:nvSpPr>
        <xdr:cNvPr id="5" name="Retângulo Arredondado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67A41256-9299-4DF9-9708-1493DA40FCED}"/>
            </a:ext>
            <a:ext uri="{147F2762-F138-4A5C-976F-8EAC2B608ADB}">
              <a16:predDERef xmlns:a16="http://schemas.microsoft.com/office/drawing/2014/main" xmlns="" pred="{6715A6CC-3A6A-A1DB-3E76-6B956BB6C7D0}"/>
            </a:ext>
          </a:extLst>
        </xdr:cNvPr>
        <xdr:cNvSpPr/>
      </xdr:nvSpPr>
      <xdr:spPr>
        <a:xfrm>
          <a:off x="85725" y="2333625"/>
          <a:ext cx="18383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95250</xdr:colOff>
      <xdr:row>14</xdr:row>
      <xdr:rowOff>66675</xdr:rowOff>
    </xdr:from>
    <xdr:to>
      <xdr:col>0</xdr:col>
      <xdr:colOff>1933575</xdr:colOff>
      <xdr:row>16</xdr:row>
      <xdr:rowOff>57150</xdr:rowOff>
    </xdr:to>
    <xdr:sp macro="" textlink="">
      <xdr:nvSpPr>
        <xdr:cNvPr id="6" name="Retângulo Arredondad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8AA0A94E-7223-4757-BA7D-46C6CDA719B2}"/>
            </a:ext>
            <a:ext uri="{147F2762-F138-4A5C-976F-8EAC2B608ADB}">
              <a16:predDERef xmlns:a16="http://schemas.microsoft.com/office/drawing/2014/main" xmlns="" pred="{67A41256-9299-4DF9-9708-1493DA40FCED}"/>
            </a:ext>
          </a:extLst>
        </xdr:cNvPr>
        <xdr:cNvSpPr/>
      </xdr:nvSpPr>
      <xdr:spPr>
        <a:xfrm>
          <a:off x="95250" y="2809875"/>
          <a:ext cx="1838325" cy="371475"/>
        </a:xfrm>
        <a:prstGeom prst="roundRect">
          <a:avLst/>
        </a:prstGeom>
        <a:solidFill>
          <a:srgbClr val="2A372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DCBC98"/>
              </a:solidFill>
              <a:latin typeface="Arial" panose="020B0604020202020204" pitchFamily="34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oneCell">
    <xdr:from>
      <xdr:col>0</xdr:col>
      <xdr:colOff>714377</xdr:colOff>
      <xdr:row>21</xdr:row>
      <xdr:rowOff>38100</xdr:rowOff>
    </xdr:from>
    <xdr:to>
      <xdr:col>0</xdr:col>
      <xdr:colOff>1200151</xdr:colOff>
      <xdr:row>23</xdr:row>
      <xdr:rowOff>148042</xdr:rowOff>
    </xdr:to>
    <xdr:pic>
      <xdr:nvPicPr>
        <xdr:cNvPr id="7" name="Icon_link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7" y="4038600"/>
          <a:ext cx="485774" cy="490942"/>
        </a:xfrm>
        <a:prstGeom prst="rect">
          <a:avLst/>
        </a:prstGeom>
      </xdr:spPr>
    </xdr:pic>
    <xdr:clientData/>
  </xdr:twoCellAnchor>
  <xdr:twoCellAnchor editAs="absolute">
    <xdr:from>
      <xdr:col>0</xdr:col>
      <xdr:colOff>257175</xdr:colOff>
      <xdr:row>19</xdr:row>
      <xdr:rowOff>95250</xdr:rowOff>
    </xdr:from>
    <xdr:to>
      <xdr:col>0</xdr:col>
      <xdr:colOff>1695450</xdr:colOff>
      <xdr:row>19</xdr:row>
      <xdr:rowOff>95250</xdr:rowOff>
    </xdr:to>
    <xdr:cxnSp macro="">
      <xdr:nvCxnSpPr>
        <xdr:cNvPr id="8" name="Conector reto 7"/>
        <xdr:cNvCxnSpPr/>
      </xdr:nvCxnSpPr>
      <xdr:spPr>
        <a:xfrm>
          <a:off x="257175" y="3714750"/>
          <a:ext cx="1438275" cy="0"/>
        </a:xfrm>
        <a:prstGeom prst="line">
          <a:avLst/>
        </a:prstGeom>
        <a:ln w="12700">
          <a:solidFill>
            <a:srgbClr val="AF783B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19050</xdr:colOff>
      <xdr:row>0</xdr:row>
      <xdr:rowOff>52387</xdr:rowOff>
    </xdr:from>
    <xdr:to>
      <xdr:col>8</xdr:col>
      <xdr:colOff>304800</xdr:colOff>
      <xdr:row>14</xdr:row>
      <xdr:rowOff>28575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33337</xdr:colOff>
      <xdr:row>14</xdr:row>
      <xdr:rowOff>100012</xdr:rowOff>
    </xdr:from>
    <xdr:to>
      <xdr:col>8</xdr:col>
      <xdr:colOff>295275</xdr:colOff>
      <xdr:row>27</xdr:row>
      <xdr:rowOff>123825</xdr:rowOff>
    </xdr:to>
    <xdr:graphicFrame macro="">
      <xdr:nvGraphicFramePr>
        <xdr:cNvPr id="15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28</xdr:row>
      <xdr:rowOff>66675</xdr:rowOff>
    </xdr:from>
    <xdr:to>
      <xdr:col>8</xdr:col>
      <xdr:colOff>285750</xdr:colOff>
      <xdr:row>29</xdr:row>
      <xdr:rowOff>180975</xdr:rowOff>
    </xdr:to>
    <xdr:sp macro="" textlink="">
      <xdr:nvSpPr>
        <xdr:cNvPr id="16" name="Retângulo de cantos arredondados 15">
          <a:hlinkClick xmlns:r="http://schemas.openxmlformats.org/officeDocument/2006/relationships" r:id="rId4"/>
        </xdr:cNvPr>
        <xdr:cNvSpPr/>
      </xdr:nvSpPr>
      <xdr:spPr>
        <a:xfrm>
          <a:off x="1971675" y="5400675"/>
          <a:ext cx="4552950" cy="3048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rgbClr val="2A3723"/>
              </a:solidFill>
              <a:latin typeface="Arial" panose="020B0604020202020204" pitchFamily="34" charset="0"/>
              <a:cs typeface="Arial" panose="020B0604020202020204" pitchFamily="34" charset="0"/>
            </a:rPr>
            <a:t>&lt;- ANTERIOR</a:t>
          </a:r>
        </a:p>
      </xdr:txBody>
    </xdr:sp>
    <xdr:clientData/>
  </xdr:twoCellAnchor>
  <xdr:twoCellAnchor>
    <xdr:from>
      <xdr:col>8</xdr:col>
      <xdr:colOff>390524</xdr:colOff>
      <xdr:row>0</xdr:row>
      <xdr:rowOff>38100</xdr:rowOff>
    </xdr:from>
    <xdr:to>
      <xdr:col>18</xdr:col>
      <xdr:colOff>76199</xdr:colOff>
      <xdr:row>14</xdr:row>
      <xdr:rowOff>28575</xdr:rowOff>
    </xdr:to>
    <xdr:graphicFrame macro="">
      <xdr:nvGraphicFramePr>
        <xdr:cNvPr id="18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47625</xdr:colOff>
      <xdr:row>18</xdr:row>
      <xdr:rowOff>66675</xdr:rowOff>
    </xdr:from>
    <xdr:to>
      <xdr:col>13</xdr:col>
      <xdr:colOff>180975</xdr:colOff>
      <xdr:row>20</xdr:row>
      <xdr:rowOff>152400</xdr:rowOff>
    </xdr:to>
    <xdr:sp macro="" textlink="INFORMES!C7">
      <xdr:nvSpPr>
        <xdr:cNvPr id="19" name="CaixaDeTexto 18"/>
        <xdr:cNvSpPr txBox="1"/>
      </xdr:nvSpPr>
      <xdr:spPr>
        <a:xfrm>
          <a:off x="7505700" y="3495675"/>
          <a:ext cx="1962150" cy="466725"/>
        </a:xfrm>
        <a:prstGeom prst="rect">
          <a:avLst/>
        </a:prstGeom>
        <a:solidFill>
          <a:srgbClr val="FFCC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B25CB74-054B-4576-92F4-4408BCEC83F4}" type="TxLink">
            <a:rPr lang="en-US" sz="1600" b="1" i="0" u="none" strike="noStrike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R$ 2.295.283,45</a:t>
          </a:fld>
          <a:endParaRPr lang="pt-BR" sz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47625</xdr:colOff>
      <xdr:row>16</xdr:row>
      <xdr:rowOff>152399</xdr:rowOff>
    </xdr:from>
    <xdr:to>
      <xdr:col>13</xdr:col>
      <xdr:colOff>180975</xdr:colOff>
      <xdr:row>18</xdr:row>
      <xdr:rowOff>66674</xdr:rowOff>
    </xdr:to>
    <xdr:sp macro="" textlink="">
      <xdr:nvSpPr>
        <xdr:cNvPr id="20" name="CaixaDeTexto 19"/>
        <xdr:cNvSpPr txBox="1"/>
      </xdr:nvSpPr>
      <xdr:spPr>
        <a:xfrm>
          <a:off x="7505700" y="3200399"/>
          <a:ext cx="1962150" cy="295275"/>
        </a:xfrm>
        <a:prstGeom prst="rect">
          <a:avLst/>
        </a:prstGeom>
        <a:solidFill>
          <a:srgbClr val="2A372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TOTAL BANCO</a:t>
          </a:r>
        </a:p>
      </xdr:txBody>
    </xdr:sp>
    <xdr:clientData/>
  </xdr:twoCellAnchor>
  <xdr:twoCellAnchor>
    <xdr:from>
      <xdr:col>14</xdr:col>
      <xdr:colOff>76200</xdr:colOff>
      <xdr:row>18</xdr:row>
      <xdr:rowOff>28575</xdr:rowOff>
    </xdr:from>
    <xdr:to>
      <xdr:col>17</xdr:col>
      <xdr:colOff>209550</xdr:colOff>
      <xdr:row>20</xdr:row>
      <xdr:rowOff>133350</xdr:rowOff>
    </xdr:to>
    <xdr:sp macro="" textlink="$P$16">
      <xdr:nvSpPr>
        <xdr:cNvPr id="22" name="CaixaDeTexto 21"/>
        <xdr:cNvSpPr txBox="1"/>
      </xdr:nvSpPr>
      <xdr:spPr>
        <a:xfrm>
          <a:off x="9972675" y="3457575"/>
          <a:ext cx="2133600" cy="485775"/>
        </a:xfrm>
        <a:prstGeom prst="rect">
          <a:avLst/>
        </a:prstGeom>
        <a:solidFill>
          <a:srgbClr val="FFCC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25E3EAB-8357-4333-B10C-1C3E0F4A8FEF}" type="TxLink">
            <a:rPr lang="en-US" sz="16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R$ 13.000,00</a:t>
          </a:fld>
          <a:endParaRPr lang="en-US" sz="2000" b="1" i="0" u="none" strike="noStrike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66675</xdr:colOff>
      <xdr:row>16</xdr:row>
      <xdr:rowOff>161925</xdr:rowOff>
    </xdr:from>
    <xdr:to>
      <xdr:col>17</xdr:col>
      <xdr:colOff>200025</xdr:colOff>
      <xdr:row>18</xdr:row>
      <xdr:rowOff>76200</xdr:rowOff>
    </xdr:to>
    <xdr:sp macro="" textlink="">
      <xdr:nvSpPr>
        <xdr:cNvPr id="27" name="CaixaDeTexto 26"/>
        <xdr:cNvSpPr txBox="1"/>
      </xdr:nvSpPr>
      <xdr:spPr>
        <a:xfrm>
          <a:off x="9963150" y="3209925"/>
          <a:ext cx="1962150" cy="295275"/>
        </a:xfrm>
        <a:prstGeom prst="rect">
          <a:avLst/>
        </a:prstGeom>
        <a:solidFill>
          <a:srgbClr val="2A372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TOTAL RECEBIDOS</a:t>
          </a:r>
        </a:p>
      </xdr:txBody>
    </xdr:sp>
    <xdr:clientData/>
  </xdr:twoCellAnchor>
  <xdr:twoCellAnchor>
    <xdr:from>
      <xdr:col>0</xdr:col>
      <xdr:colOff>85725</xdr:colOff>
      <xdr:row>16</xdr:row>
      <xdr:rowOff>133350</xdr:rowOff>
    </xdr:from>
    <xdr:to>
      <xdr:col>0</xdr:col>
      <xdr:colOff>1924050</xdr:colOff>
      <xdr:row>18</xdr:row>
      <xdr:rowOff>123825</xdr:rowOff>
    </xdr:to>
    <xdr:sp macro="" textlink="">
      <xdr:nvSpPr>
        <xdr:cNvPr id="29" name="Retângulo Arredondado 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8AA0A94E-7223-4757-BA7D-46C6CDA719B2}"/>
            </a:ext>
            <a:ext uri="{147F2762-F138-4A5C-976F-8EAC2B608ADB}">
              <a16:predDERef xmlns:a16="http://schemas.microsoft.com/office/drawing/2014/main" xmlns="" pred="{67A41256-9299-4DF9-9708-1493DA40FCED}"/>
            </a:ext>
          </a:extLst>
        </xdr:cNvPr>
        <xdr:cNvSpPr/>
      </xdr:nvSpPr>
      <xdr:spPr>
        <a:xfrm>
          <a:off x="85725" y="3181350"/>
          <a:ext cx="1838325" cy="371475"/>
        </a:xfrm>
        <a:prstGeom prst="roundRect">
          <a:avLst/>
        </a:prstGeom>
        <a:solidFill>
          <a:srgbClr val="DCBC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 i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GRAFICO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ITULAR" displayName="TITULAR" ref="C6:D19" headerRowCount="0" totalsRowShown="0" headerRowDxfId="36" tableBorderDxfId="35" totalsRowBorderDxfId="34">
  <tableColumns count="2">
    <tableColumn id="1" name="Colunas1" headerRowDxfId="33" dataDxfId="32"/>
    <tableColumn id="2" name="Colunas2" headerRowDxfId="31" dataDxfId="10" headerRowCellStyle="Entrada" dataCellStyle="Entrada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id="2" name="TITULAR3" displayName="TITULAR3" ref="C10:D12" headerRowCount="0" totalsRowShown="0" headerRowDxfId="30" tableBorderDxfId="29" totalsRowBorderDxfId="28">
  <tableColumns count="2">
    <tableColumn id="1" name="Colunas1" headerRowDxfId="26" dataDxfId="25"/>
    <tableColumn id="2" name="Colunas2" headerRowDxfId="27" dataDxfId="9" headerRowCellStyle="Entrada" dataCellStyle="Entrada"/>
  </tableColumns>
  <tableStyleInfo name="TableStyleMedium1" showFirstColumn="0" showLastColumn="0" showRowStripes="0" showColumnStripes="0"/>
</table>
</file>

<file path=xl/tables/table3.xml><?xml version="1.0" encoding="utf-8"?>
<table xmlns="http://schemas.openxmlformats.org/spreadsheetml/2006/main" id="4" name="TITULAR35" displayName="TITULAR35" ref="C16:D18" headerRowCount="0" totalsRowShown="0" headerRowDxfId="24" tableBorderDxfId="23" totalsRowBorderDxfId="22">
  <tableColumns count="2">
    <tableColumn id="1" name="Colunas1" headerRowDxfId="21" dataDxfId="20"/>
    <tableColumn id="2" name="Colunas2" headerRowDxfId="19" dataDxfId="8" headerRowCellStyle="Entrada" dataCellStyle="Entrada"/>
  </tableColumns>
  <tableStyleInfo name="TableStyleMedium1" showFirstColumn="0" showLastColumn="0" showRowStripes="0" showColumnStripes="0"/>
</table>
</file>

<file path=xl/tables/table4.xml><?xml version="1.0" encoding="utf-8"?>
<table xmlns="http://schemas.openxmlformats.org/spreadsheetml/2006/main" id="5" name="TITULAR36" displayName="TITULAR36" ref="C22:D24" headerRowCount="0" totalsRowShown="0" headerRowDxfId="18" tableBorderDxfId="17" totalsRowBorderDxfId="16">
  <tableColumns count="2">
    <tableColumn id="1" name="Colunas1" headerRowDxfId="15" dataDxfId="14"/>
    <tableColumn id="2" name="Colunas2" headerRowDxfId="13" dataDxfId="7" headerRowCellStyle="Entrada" dataCellStyle="Entrada"/>
  </tableColumns>
  <tableStyleInfo name="TableStyleMedium1" showFirstColumn="0" showLastColumn="0" showRowStripes="0" showColumnStripes="0"/>
</table>
</file>

<file path=xl/tables/table5.xml><?xml version="1.0" encoding="utf-8"?>
<table xmlns="http://schemas.openxmlformats.org/spreadsheetml/2006/main" id="6" name="tabela_banco" displayName="tabela_banco" ref="A1:A51" totalsRowShown="0" headerRowDxfId="12">
  <autoFilter ref="A1:A51"/>
  <tableColumns count="1">
    <tableColumn id="1" name="banco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8" name="TABELA_ENTRADAS" displayName="TABELA_ENTRADAS" ref="C8:E35" totalsRowCount="1" headerRowDxfId="11" dataDxfId="3">
  <autoFilter ref="C8:E35"/>
  <tableColumns count="3">
    <tableColumn id="1" name="DATA" dataDxfId="6" totalsRowDxfId="2"/>
    <tableColumn id="2" name="CATEGORIA" dataDxfId="5" totalsRowDxfId="1"/>
    <tableColumn id="3" name="VALOR" totalsRowFunction="sum" dataDxfId="4" totalsRowDxfId="0" dataCellStyle="Moeda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mailto:FENTANDO_KURO@GMAIL.COM?subject=Precisamos%20falar%20sobre%20sua%20declara&#231;&#227;o.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F5"/>
  <sheetViews>
    <sheetView workbookViewId="0">
      <selection activeCell="E1" sqref="E1"/>
    </sheetView>
  </sheetViews>
  <sheetFormatPr defaultRowHeight="15"/>
  <cols>
    <col min="1" max="1" width="19.140625" style="2" customWidth="1"/>
    <col min="2" max="2" width="19.7109375" style="3" customWidth="1"/>
    <col min="3" max="3" width="9.140625" style="4"/>
    <col min="4" max="4" width="9.140625" style="5"/>
    <col min="5" max="5" width="9.140625" style="6"/>
    <col min="6" max="6" width="15.42578125" customWidth="1"/>
  </cols>
  <sheetData>
    <row r="1" spans="1:6">
      <c r="A1" s="9" t="s">
        <v>0</v>
      </c>
      <c r="B1" s="10" t="s">
        <v>1</v>
      </c>
      <c r="C1" s="8" t="s">
        <v>2</v>
      </c>
      <c r="D1" s="7" t="s">
        <v>3</v>
      </c>
      <c r="E1" s="6" t="s">
        <v>4</v>
      </c>
    </row>
    <row r="2" spans="1:6">
      <c r="D2" s="7"/>
    </row>
    <row r="5" spans="1:6">
      <c r="F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3:D21"/>
  <sheetViews>
    <sheetView showGridLines="0" showRowColHeaders="0" workbookViewId="0">
      <selection activeCell="C1" sqref="C1"/>
    </sheetView>
  </sheetViews>
  <sheetFormatPr defaultRowHeight="15"/>
  <cols>
    <col min="1" max="1" width="29.5703125" style="3" customWidth="1"/>
    <col min="3" max="3" width="52.28515625" bestFit="1" customWidth="1"/>
    <col min="4" max="4" width="45.28515625" customWidth="1"/>
  </cols>
  <sheetData>
    <row r="3" spans="3:4" ht="20.25" thickBot="1">
      <c r="C3" s="15" t="s">
        <v>19</v>
      </c>
      <c r="D3" s="16"/>
    </row>
    <row r="4" spans="3:4" ht="15.75" customHeight="1" thickTop="1">
      <c r="C4" s="20" t="s">
        <v>20</v>
      </c>
      <c r="D4" s="20"/>
    </row>
    <row r="6" spans="3:4" ht="15.75">
      <c r="C6" s="12" t="s">
        <v>5</v>
      </c>
      <c r="D6" s="30" t="s">
        <v>21</v>
      </c>
    </row>
    <row r="7" spans="3:4" ht="15.75">
      <c r="C7" s="13" t="s">
        <v>6</v>
      </c>
      <c r="D7" s="31">
        <v>12456310039</v>
      </c>
    </row>
    <row r="8" spans="3:4" ht="15.75">
      <c r="C8" s="13" t="s">
        <v>7</v>
      </c>
      <c r="D8" s="32">
        <v>35453</v>
      </c>
    </row>
    <row r="9" spans="3:4" ht="15.75">
      <c r="C9" s="13" t="s">
        <v>8</v>
      </c>
      <c r="D9" s="33">
        <v>5564312</v>
      </c>
    </row>
    <row r="10" spans="3:4" ht="15.75">
      <c r="C10" s="13" t="s">
        <v>17</v>
      </c>
      <c r="D10" s="33" t="s">
        <v>22</v>
      </c>
    </row>
    <row r="11" spans="3:4" ht="15.75">
      <c r="C11" s="13" t="s">
        <v>9</v>
      </c>
      <c r="D11" s="33" t="s">
        <v>23</v>
      </c>
    </row>
    <row r="12" spans="3:4" ht="15.75">
      <c r="C12" s="13" t="s">
        <v>10</v>
      </c>
      <c r="D12" s="33" t="s">
        <v>24</v>
      </c>
    </row>
    <row r="13" spans="3:4" ht="15.75">
      <c r="C13" s="13" t="s">
        <v>11</v>
      </c>
      <c r="D13" s="34">
        <v>870000430</v>
      </c>
    </row>
    <row r="14" spans="3:4" ht="15.75">
      <c r="C14" s="13" t="s">
        <v>12</v>
      </c>
      <c r="D14" s="35">
        <v>41999453820</v>
      </c>
    </row>
    <row r="15" spans="3:4" ht="15.75">
      <c r="C15" s="13" t="s">
        <v>13</v>
      </c>
      <c r="D15" s="35">
        <v>41988256314</v>
      </c>
    </row>
    <row r="16" spans="3:4" ht="15.75">
      <c r="C16" s="13" t="s">
        <v>14</v>
      </c>
      <c r="D16" s="36" t="s">
        <v>25</v>
      </c>
    </row>
    <row r="17" spans="1:4" ht="15.75">
      <c r="C17" s="13" t="s">
        <v>15</v>
      </c>
      <c r="D17" s="33" t="s">
        <v>26</v>
      </c>
    </row>
    <row r="18" spans="1:4" ht="15.75">
      <c r="C18" s="13" t="s">
        <v>16</v>
      </c>
      <c r="D18" s="33" t="s">
        <v>26</v>
      </c>
    </row>
    <row r="19" spans="1:4" ht="15.75">
      <c r="C19" s="14" t="s">
        <v>18</v>
      </c>
      <c r="D19" s="37" t="s">
        <v>26</v>
      </c>
    </row>
    <row r="20" spans="1:4">
      <c r="C20" s="21"/>
      <c r="D20" s="21"/>
    </row>
    <row r="21" spans="1:4">
      <c r="A21" s="44" t="s">
        <v>96</v>
      </c>
    </row>
  </sheetData>
  <sheetProtection selectLockedCells="1"/>
  <mergeCells count="2">
    <mergeCell ref="C4:D4"/>
    <mergeCell ref="C20:D20"/>
  </mergeCells>
  <dataValidations count="1">
    <dataValidation type="list" allowBlank="1" showInputMessage="1" showErrorMessage="1" sqref="D17:D19">
      <formula1>"SIM, NÃO"</formula1>
    </dataValidation>
  </dataValidations>
  <hyperlinks>
    <hyperlink ref="D16" r:id="rId1"/>
  </hyperlink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3:I33"/>
  <sheetViews>
    <sheetView showGridLines="0" showRowColHeaders="0" workbookViewId="0">
      <selection activeCell="C1" sqref="C1"/>
    </sheetView>
  </sheetViews>
  <sheetFormatPr defaultRowHeight="15"/>
  <cols>
    <col min="1" max="1" width="29.5703125" style="3" customWidth="1"/>
    <col min="3" max="3" width="52.28515625" bestFit="1" customWidth="1"/>
    <col min="4" max="4" width="42.7109375" customWidth="1"/>
  </cols>
  <sheetData>
    <row r="3" spans="2:9" ht="20.25" thickBot="1">
      <c r="C3" s="15" t="s">
        <v>27</v>
      </c>
      <c r="D3" s="16"/>
    </row>
    <row r="4" spans="2:9" ht="15.75" thickTop="1">
      <c r="C4" s="20" t="s">
        <v>28</v>
      </c>
      <c r="D4" s="20"/>
    </row>
    <row r="6" spans="2:9" ht="17.25" customHeight="1">
      <c r="C6" s="23" t="s">
        <v>35</v>
      </c>
    </row>
    <row r="7" spans="2:9" ht="17.25" customHeight="1">
      <c r="C7" s="26">
        <f>D11+D17+D23</f>
        <v>2295283.4500000002</v>
      </c>
      <c r="D7" s="27"/>
    </row>
    <row r="9" spans="2:9">
      <c r="C9" s="22" t="s">
        <v>32</v>
      </c>
      <c r="D9" s="22"/>
    </row>
    <row r="10" spans="2:9" ht="15.75">
      <c r="C10" s="17" t="s">
        <v>29</v>
      </c>
      <c r="D10" s="38" t="s">
        <v>40</v>
      </c>
    </row>
    <row r="11" spans="2:9" ht="15.75">
      <c r="C11" s="18" t="s">
        <v>30</v>
      </c>
      <c r="D11" s="39">
        <v>500000</v>
      </c>
    </row>
    <row r="12" spans="2:9" ht="15.75">
      <c r="C12" s="19" t="s">
        <v>31</v>
      </c>
      <c r="D12" s="40" t="s">
        <v>36</v>
      </c>
    </row>
    <row r="13" spans="2:9">
      <c r="C13" s="11"/>
      <c r="D13" s="11"/>
    </row>
    <row r="14" spans="2:9">
      <c r="C14" s="11"/>
      <c r="D14" s="11"/>
    </row>
    <row r="15" spans="2:9">
      <c r="B15" s="11"/>
      <c r="C15" s="22" t="s">
        <v>33</v>
      </c>
      <c r="D15" s="22"/>
      <c r="E15" s="11"/>
      <c r="F15" s="11"/>
      <c r="G15" s="11"/>
      <c r="H15" s="11"/>
      <c r="I15" s="11"/>
    </row>
    <row r="16" spans="2:9" ht="15.75">
      <c r="B16" s="11"/>
      <c r="C16" s="17" t="s">
        <v>29</v>
      </c>
      <c r="D16" s="38" t="s">
        <v>64</v>
      </c>
      <c r="E16" s="11"/>
      <c r="F16" s="11"/>
      <c r="G16" s="11"/>
      <c r="H16" s="11"/>
      <c r="I16" s="11"/>
    </row>
    <row r="17" spans="1:9" ht="15.75">
      <c r="B17" s="11"/>
      <c r="C17" s="18" t="s">
        <v>30</v>
      </c>
      <c r="D17" s="39">
        <v>1560635.23</v>
      </c>
      <c r="E17" s="11"/>
      <c r="F17" s="11"/>
      <c r="G17" s="11"/>
      <c r="H17" s="11"/>
      <c r="I17" s="11"/>
    </row>
    <row r="18" spans="1:9" ht="15.75">
      <c r="B18" s="11"/>
      <c r="C18" s="19" t="s">
        <v>31</v>
      </c>
      <c r="D18" s="40" t="s">
        <v>36</v>
      </c>
      <c r="E18" s="11"/>
      <c r="F18" s="11"/>
      <c r="G18" s="11"/>
      <c r="H18" s="11"/>
      <c r="I18" s="11"/>
    </row>
    <row r="19" spans="1:9">
      <c r="B19" s="11"/>
      <c r="C19" s="11"/>
      <c r="D19" s="11"/>
      <c r="E19" s="11"/>
      <c r="F19" s="11"/>
      <c r="G19" s="11"/>
      <c r="H19" s="11"/>
      <c r="I19" s="11"/>
    </row>
    <row r="20" spans="1:9">
      <c r="B20" s="11"/>
      <c r="C20" s="11"/>
      <c r="D20" s="11"/>
      <c r="E20" s="11"/>
      <c r="F20" s="11"/>
      <c r="G20" s="11"/>
      <c r="H20" s="11"/>
      <c r="I20" s="11"/>
    </row>
    <row r="21" spans="1:9">
      <c r="A21" s="44" t="s">
        <v>96</v>
      </c>
      <c r="B21" s="11"/>
      <c r="C21" s="22" t="s">
        <v>34</v>
      </c>
      <c r="D21" s="22"/>
      <c r="E21" s="11"/>
      <c r="F21" s="11"/>
      <c r="G21" s="11"/>
      <c r="H21" s="11"/>
      <c r="I21" s="11"/>
    </row>
    <row r="22" spans="1:9" ht="15.75">
      <c r="B22" s="11"/>
      <c r="C22" s="17" t="s">
        <v>29</v>
      </c>
      <c r="D22" s="38" t="s">
        <v>45</v>
      </c>
      <c r="E22" s="11"/>
      <c r="F22" s="11"/>
      <c r="G22" s="11"/>
      <c r="H22" s="11"/>
      <c r="I22" s="11"/>
    </row>
    <row r="23" spans="1:9" ht="15.75">
      <c r="B23" s="11"/>
      <c r="C23" s="18" t="s">
        <v>30</v>
      </c>
      <c r="D23" s="39">
        <v>234648.22</v>
      </c>
      <c r="E23" s="11"/>
      <c r="F23" s="11"/>
      <c r="G23" s="11"/>
      <c r="H23" s="11"/>
      <c r="I23" s="11"/>
    </row>
    <row r="24" spans="1:9" ht="15.75">
      <c r="B24" s="11"/>
      <c r="C24" s="19" t="s">
        <v>31</v>
      </c>
      <c r="D24" s="40" t="s">
        <v>36</v>
      </c>
      <c r="E24" s="11"/>
      <c r="F24" s="11"/>
      <c r="G24" s="11"/>
      <c r="H24" s="11"/>
      <c r="I24" s="11"/>
    </row>
    <row r="25" spans="1:9">
      <c r="B25" s="11"/>
      <c r="E25" s="11"/>
      <c r="F25" s="11"/>
      <c r="G25" s="11"/>
      <c r="H25" s="11"/>
      <c r="I25" s="11"/>
    </row>
    <row r="26" spans="1:9">
      <c r="B26" s="11"/>
      <c r="E26" s="11"/>
      <c r="F26" s="11"/>
      <c r="G26" s="11"/>
      <c r="H26" s="11"/>
      <c r="I26" s="11"/>
    </row>
    <row r="27" spans="1:9">
      <c r="B27" s="11"/>
      <c r="E27" s="11"/>
      <c r="F27" s="11"/>
      <c r="G27" s="11"/>
      <c r="H27" s="11"/>
      <c r="I27" s="11"/>
    </row>
    <row r="28" spans="1:9">
      <c r="B28" s="11"/>
      <c r="E28" s="11"/>
      <c r="F28" s="11"/>
      <c r="G28" s="11"/>
      <c r="H28" s="11"/>
      <c r="I28" s="11"/>
    </row>
    <row r="29" spans="1:9">
      <c r="B29" s="11"/>
      <c r="E29" s="11"/>
      <c r="F29" s="11"/>
      <c r="G29" s="11"/>
      <c r="H29" s="11"/>
      <c r="I29" s="11"/>
    </row>
    <row r="30" spans="1:9">
      <c r="B30" s="11"/>
      <c r="E30" s="11"/>
      <c r="F30" s="11"/>
      <c r="G30" s="11"/>
      <c r="H30" s="11"/>
      <c r="I30" s="11"/>
    </row>
    <row r="31" spans="1:9">
      <c r="B31" s="11"/>
      <c r="E31" s="11"/>
      <c r="F31" s="11"/>
      <c r="G31" s="11"/>
      <c r="H31" s="11"/>
      <c r="I31" s="11"/>
    </row>
    <row r="32" spans="1:9">
      <c r="B32" s="11"/>
      <c r="E32" s="11"/>
      <c r="F32" s="11"/>
      <c r="G32" s="11"/>
      <c r="H32" s="11"/>
      <c r="I32" s="11"/>
    </row>
    <row r="33" spans="2:9">
      <c r="B33" s="11"/>
      <c r="E33" s="11"/>
      <c r="F33" s="11"/>
      <c r="G33" s="11"/>
      <c r="H33" s="11"/>
      <c r="I33" s="11"/>
    </row>
  </sheetData>
  <sheetProtection selectLockedCells="1"/>
  <mergeCells count="2">
    <mergeCell ref="C4:D4"/>
    <mergeCell ref="C7:D7"/>
  </mergeCells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Plan1!$A$2:$A$51</xm:f>
          </x14:formula1>
          <xm:sqref>D10 D16 D22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29" workbookViewId="0">
      <selection sqref="A1:A51"/>
    </sheetView>
  </sheetViews>
  <sheetFormatPr defaultRowHeight="15"/>
  <cols>
    <col min="1" max="1" width="38.5703125" bestFit="1" customWidth="1"/>
  </cols>
  <sheetData>
    <row r="1" spans="1:1">
      <c r="A1" s="25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1" spans="1:1">
      <c r="A11" t="s">
        <v>47</v>
      </c>
    </row>
    <row r="12" spans="1:1">
      <c r="A12" t="s">
        <v>48</v>
      </c>
    </row>
    <row r="13" spans="1:1">
      <c r="A13" t="s">
        <v>49</v>
      </c>
    </row>
    <row r="14" spans="1:1">
      <c r="A14" t="s">
        <v>50</v>
      </c>
    </row>
    <row r="15" spans="1:1">
      <c r="A15" t="s">
        <v>51</v>
      </c>
    </row>
    <row r="16" spans="1:1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  <row r="21" spans="1:1">
      <c r="A21" t="s">
        <v>57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5" spans="1:1">
      <c r="A25" t="s">
        <v>61</v>
      </c>
    </row>
    <row r="26" spans="1:1">
      <c r="A26" t="s">
        <v>62</v>
      </c>
    </row>
    <row r="27" spans="1:1">
      <c r="A27" t="s">
        <v>63</v>
      </c>
    </row>
    <row r="28" spans="1:1">
      <c r="A28" t="s">
        <v>64</v>
      </c>
    </row>
    <row r="29" spans="1:1">
      <c r="A29" t="s">
        <v>65</v>
      </c>
    </row>
    <row r="30" spans="1:1">
      <c r="A30" t="s">
        <v>66</v>
      </c>
    </row>
    <row r="31" spans="1:1">
      <c r="A31" t="s">
        <v>67</v>
      </c>
    </row>
    <row r="32" spans="1:1">
      <c r="A32" t="s">
        <v>68</v>
      </c>
    </row>
    <row r="33" spans="1:1">
      <c r="A33" t="s">
        <v>69</v>
      </c>
    </row>
    <row r="34" spans="1:1">
      <c r="A34" t="s">
        <v>70</v>
      </c>
    </row>
    <row r="35" spans="1:1">
      <c r="A35" t="s">
        <v>71</v>
      </c>
    </row>
    <row r="36" spans="1:1">
      <c r="A36" t="s">
        <v>72</v>
      </c>
    </row>
    <row r="37" spans="1:1">
      <c r="A37" t="s">
        <v>73</v>
      </c>
    </row>
    <row r="38" spans="1:1">
      <c r="A38" t="s">
        <v>74</v>
      </c>
    </row>
    <row r="39" spans="1:1">
      <c r="A39" t="s">
        <v>75</v>
      </c>
    </row>
    <row r="40" spans="1:1">
      <c r="A40" t="s">
        <v>76</v>
      </c>
    </row>
    <row r="41" spans="1:1">
      <c r="A41" t="s">
        <v>77</v>
      </c>
    </row>
    <row r="42" spans="1:1">
      <c r="A42" t="s">
        <v>78</v>
      </c>
    </row>
    <row r="43" spans="1:1">
      <c r="A43" t="s">
        <v>79</v>
      </c>
    </row>
    <row r="44" spans="1:1">
      <c r="A44" t="s">
        <v>80</v>
      </c>
    </row>
    <row r="45" spans="1:1">
      <c r="A45" t="s">
        <v>81</v>
      </c>
    </row>
    <row r="46" spans="1:1">
      <c r="A46" t="s">
        <v>82</v>
      </c>
    </row>
    <row r="47" spans="1:1">
      <c r="A47" t="s">
        <v>83</v>
      </c>
    </row>
    <row r="48" spans="1:1">
      <c r="A48" t="s">
        <v>84</v>
      </c>
    </row>
    <row r="49" spans="1:1">
      <c r="A49" t="s">
        <v>85</v>
      </c>
    </row>
    <row r="50" spans="1:1">
      <c r="A50" t="s">
        <v>86</v>
      </c>
    </row>
    <row r="51" spans="1:1">
      <c r="A51" t="s">
        <v>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3:E35"/>
  <sheetViews>
    <sheetView showGridLines="0" showRowColHeaders="0" workbookViewId="0">
      <selection activeCell="C1" sqref="C1"/>
    </sheetView>
  </sheetViews>
  <sheetFormatPr defaultRowHeight="15"/>
  <cols>
    <col min="1" max="1" width="29.5703125" style="3" customWidth="1"/>
    <col min="3" max="3" width="18" customWidth="1"/>
    <col min="4" max="4" width="25.140625" customWidth="1"/>
    <col min="5" max="5" width="16.28515625" customWidth="1"/>
  </cols>
  <sheetData>
    <row r="3" spans="3:5" ht="20.25" thickBot="1">
      <c r="C3" s="15" t="s">
        <v>88</v>
      </c>
      <c r="D3" s="16"/>
    </row>
    <row r="4" spans="3:5" ht="15.75" thickTop="1">
      <c r="C4" s="20" t="s">
        <v>89</v>
      </c>
      <c r="D4" s="20"/>
    </row>
    <row r="7" spans="3:5">
      <c r="C7" s="28" t="s">
        <v>93</v>
      </c>
      <c r="D7" s="28"/>
      <c r="E7" s="28"/>
    </row>
    <row r="8" spans="3:5">
      <c r="C8" s="29" t="s">
        <v>90</v>
      </c>
      <c r="D8" s="29" t="s">
        <v>91</v>
      </c>
      <c r="E8" s="29" t="s">
        <v>92</v>
      </c>
    </row>
    <row r="9" spans="3:5">
      <c r="C9" s="41">
        <v>46296</v>
      </c>
      <c r="D9" s="42" t="s">
        <v>95</v>
      </c>
      <c r="E9" s="43">
        <v>2500</v>
      </c>
    </row>
    <row r="10" spans="3:5">
      <c r="C10" s="41">
        <v>46300</v>
      </c>
      <c r="D10" s="42" t="s">
        <v>97</v>
      </c>
      <c r="E10" s="43">
        <v>4000</v>
      </c>
    </row>
    <row r="11" spans="3:5">
      <c r="C11" s="41">
        <v>46304</v>
      </c>
      <c r="D11" s="42" t="s">
        <v>94</v>
      </c>
      <c r="E11" s="43">
        <v>6500</v>
      </c>
    </row>
    <row r="12" spans="3:5">
      <c r="C12" s="41"/>
      <c r="D12" s="42"/>
      <c r="E12" s="43"/>
    </row>
    <row r="13" spans="3:5">
      <c r="C13" s="41"/>
      <c r="D13" s="42"/>
      <c r="E13" s="43"/>
    </row>
    <row r="14" spans="3:5">
      <c r="C14" s="41"/>
      <c r="D14" s="42"/>
      <c r="E14" s="43"/>
    </row>
    <row r="15" spans="3:5">
      <c r="C15" s="41"/>
      <c r="D15" s="42"/>
      <c r="E15" s="43"/>
    </row>
    <row r="16" spans="3:5">
      <c r="C16" s="41"/>
      <c r="D16" s="42"/>
      <c r="E16" s="43"/>
    </row>
    <row r="17" spans="1:5">
      <c r="C17" s="41"/>
      <c r="D17" s="42"/>
      <c r="E17" s="43"/>
    </row>
    <row r="18" spans="1:5">
      <c r="C18" s="41"/>
      <c r="D18" s="42"/>
      <c r="E18" s="43"/>
    </row>
    <row r="19" spans="1:5">
      <c r="C19" s="41"/>
      <c r="D19" s="42"/>
      <c r="E19" s="43"/>
    </row>
    <row r="20" spans="1:5">
      <c r="C20" s="41"/>
      <c r="D20" s="42"/>
      <c r="E20" s="43"/>
    </row>
    <row r="21" spans="1:5">
      <c r="A21" s="44" t="s">
        <v>96</v>
      </c>
      <c r="C21" s="41"/>
      <c r="D21" s="42"/>
      <c r="E21" s="43"/>
    </row>
    <row r="22" spans="1:5">
      <c r="C22" s="41"/>
      <c r="D22" s="42"/>
      <c r="E22" s="43"/>
    </row>
    <row r="23" spans="1:5">
      <c r="C23" s="41"/>
      <c r="D23" s="42"/>
      <c r="E23" s="43"/>
    </row>
    <row r="24" spans="1:5">
      <c r="C24" s="41"/>
      <c r="D24" s="42"/>
      <c r="E24" s="43"/>
    </row>
    <row r="25" spans="1:5">
      <c r="C25" s="41"/>
      <c r="D25" s="42"/>
      <c r="E25" s="43"/>
    </row>
    <row r="26" spans="1:5">
      <c r="C26" s="41"/>
      <c r="D26" s="42"/>
      <c r="E26" s="43"/>
    </row>
    <row r="27" spans="1:5">
      <c r="C27" s="41"/>
      <c r="D27" s="42"/>
      <c r="E27" s="43"/>
    </row>
    <row r="28" spans="1:5">
      <c r="C28" s="41"/>
      <c r="D28" s="42"/>
      <c r="E28" s="43"/>
    </row>
    <row r="29" spans="1:5">
      <c r="C29" s="41"/>
      <c r="D29" s="42"/>
      <c r="E29" s="43"/>
    </row>
    <row r="30" spans="1:5">
      <c r="C30" s="41"/>
      <c r="D30" s="42"/>
      <c r="E30" s="43"/>
    </row>
    <row r="31" spans="1:5">
      <c r="C31" s="41"/>
      <c r="D31" s="42"/>
      <c r="E31" s="43"/>
    </row>
    <row r="32" spans="1:5">
      <c r="C32" s="41"/>
      <c r="D32" s="42"/>
      <c r="E32" s="43"/>
    </row>
    <row r="33" spans="3:5">
      <c r="C33" s="41"/>
      <c r="D33" s="42"/>
      <c r="E33" s="43"/>
    </row>
    <row r="34" spans="3:5">
      <c r="C34" s="41"/>
      <c r="D34" s="42"/>
      <c r="E34" s="43"/>
    </row>
    <row r="35" spans="3:5">
      <c r="C35" s="42"/>
      <c r="D35" s="42"/>
      <c r="E35" s="43">
        <f>SUBTOTAL(109,TABELA_ENTRADAS[VALOR])</f>
        <v>13000</v>
      </c>
    </row>
  </sheetData>
  <sheetProtection selectLockedCells="1"/>
  <mergeCells count="2">
    <mergeCell ref="C4:D4"/>
    <mergeCell ref="C7:E7"/>
  </mergeCells>
  <dataValidations count="1">
    <dataValidation type="list" allowBlank="1" showInputMessage="1" showErrorMessage="1" sqref="D9:D34">
      <formula1>"HOLERITE,CNPJ,FREELANCER"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AH21"/>
  <sheetViews>
    <sheetView showGridLines="0" showRowColHeaders="0" tabSelected="1" workbookViewId="0">
      <selection activeCell="M27" sqref="M27"/>
    </sheetView>
  </sheetViews>
  <sheetFormatPr defaultRowHeight="15"/>
  <cols>
    <col min="1" max="1" width="29.5703125" style="3" customWidth="1"/>
    <col min="2" max="15" width="9.140625" style="3"/>
    <col min="16" max="16" width="11.7109375" style="3" bestFit="1" customWidth="1"/>
    <col min="17" max="34" width="9.140625" style="3"/>
  </cols>
  <sheetData>
    <row r="16" spans="16:16">
      <c r="P16" s="47">
        <f>TABELA_ENTRADAS[[#Totals],[VALOR]]</f>
        <v>13000</v>
      </c>
    </row>
    <row r="18" spans="1:15">
      <c r="O18" s="46"/>
    </row>
    <row r="21" spans="1:15">
      <c r="A21" s="44" t="s">
        <v>96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/>
  <cols>
    <col min="1" max="1" width="29.42578125" customWidth="1"/>
    <col min="2" max="2" width="21.5703125" customWidth="1"/>
  </cols>
  <sheetData>
    <row r="1" spans="1:2">
      <c r="A1" t="s">
        <v>29</v>
      </c>
      <c r="B1" t="s">
        <v>92</v>
      </c>
    </row>
    <row r="2" spans="1:2">
      <c r="A2" s="24" t="str">
        <f>INFORMES!D10</f>
        <v>104 - Caixa Econômica Federal</v>
      </c>
      <c r="B2" s="45">
        <f>INFORMES!D11</f>
        <v>500000</v>
      </c>
    </row>
    <row r="3" spans="1:2">
      <c r="A3" s="24" t="str">
        <f>INFORMES!D16</f>
        <v>422 - Banco Safra</v>
      </c>
      <c r="B3" s="45">
        <f>INFORMES!D17</f>
        <v>1560635.23</v>
      </c>
    </row>
    <row r="4" spans="1:2">
      <c r="A4" s="24" t="str">
        <f>INFORMES!D22</f>
        <v>212 - Banco Original</v>
      </c>
      <c r="B4" s="45">
        <f>INFORMES!D23</f>
        <v>234648.22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Plan1!$A$2:$A$51</xm:f>
          </x14:formula1>
          <xm:sqref>A2:A4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CORES PADRÃO</vt:lpstr>
      <vt:lpstr>TITULAR</vt:lpstr>
      <vt:lpstr>INFORMES</vt:lpstr>
      <vt:lpstr>Plan1</vt:lpstr>
      <vt:lpstr>NOTAS</vt:lpstr>
      <vt:lpstr>GRAFICO</vt:lpstr>
      <vt:lpstr>Plan3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2026-09-30T22:44:42Z</dcterms:created>
  <dcterms:modified xsi:type="dcterms:W3CDTF">2026-10-10T02:25:49Z</dcterms:modified>
  <cp:category/>
  <cp:contentStatus/>
</cp:coreProperties>
</file>